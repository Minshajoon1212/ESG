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thishatvika.S.A\Downloads\"/>
    </mc:Choice>
  </mc:AlternateContent>
  <xr:revisionPtr revIDLastSave="0" documentId="13_ncr:1_{C40310E3-EBA5-4820-8BA1-F308A180C185}" xr6:coauthVersionLast="47" xr6:coauthVersionMax="47" xr10:uidLastSave="{00000000-0000-0000-0000-000000000000}"/>
  <bookViews>
    <workbookView xWindow="-96" yWindow="0" windowWidth="11712" windowHeight="13776" xr2:uid="{CC142E92-7BF6-4A41-A554-6DE04DEB2E7E}"/>
  </bookViews>
  <sheets>
    <sheet name="Data used in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2" i="1" l="1"/>
  <c r="K171" i="1" s="1"/>
  <c r="K167" i="1"/>
  <c r="K166" i="1" s="1"/>
  <c r="K165" i="1" s="1"/>
  <c r="K164" i="1" s="1"/>
  <c r="K163" i="1" s="1"/>
  <c r="K157" i="1"/>
  <c r="K156" i="1" s="1"/>
  <c r="K155" i="1" s="1"/>
  <c r="K143" i="1"/>
  <c r="K142" i="1" s="1"/>
  <c r="K141" i="1" s="1"/>
  <c r="K140" i="1" s="1"/>
  <c r="K139" i="1" s="1"/>
  <c r="J132" i="1"/>
  <c r="J131" i="1" s="1"/>
  <c r="K100" i="1"/>
  <c r="K99" i="1" s="1"/>
  <c r="J98" i="1"/>
  <c r="D98" i="1"/>
  <c r="J97" i="1"/>
  <c r="K85" i="1"/>
  <c r="K84" i="1" s="1"/>
  <c r="K83" i="1" s="1"/>
  <c r="M82" i="1"/>
  <c r="N82" i="1"/>
  <c r="J82" i="1"/>
  <c r="I82" i="1"/>
  <c r="G82" i="1"/>
  <c r="E82" i="1"/>
  <c r="D82" i="1"/>
  <c r="M74" i="1"/>
  <c r="N74" i="1"/>
  <c r="J74" i="1"/>
  <c r="K74" i="1"/>
  <c r="I74" i="1"/>
  <c r="G74" i="1"/>
  <c r="E74" i="1"/>
  <c r="D74" i="1"/>
  <c r="D58" i="1"/>
  <c r="J37" i="1"/>
  <c r="J38" i="1" s="1"/>
  <c r="K37" i="1"/>
  <c r="I37" i="1"/>
  <c r="I38" i="1" s="1"/>
  <c r="G37" i="1"/>
  <c r="G38" i="1" s="1"/>
  <c r="E37" i="1"/>
  <c r="E38" i="1" s="1"/>
  <c r="D37" i="1"/>
  <c r="D38" i="1" s="1"/>
  <c r="K26" i="1"/>
  <c r="I26" i="1"/>
  <c r="G26" i="1"/>
  <c r="E26" i="1"/>
  <c r="D26" i="1"/>
  <c r="I10" i="1"/>
  <c r="G10" i="1"/>
  <c r="E10" i="1"/>
  <c r="D10" i="1"/>
  <c r="K38" i="1" l="1"/>
  <c r="K39" i="1" s="1"/>
  <c r="K40" i="1" s="1"/>
  <c r="K41" i="1" l="1"/>
  <c r="K42" i="1" s="1"/>
</calcChain>
</file>

<file path=xl/sharedStrings.xml><?xml version="1.0" encoding="utf-8"?>
<sst xmlns="http://schemas.openxmlformats.org/spreadsheetml/2006/main" count="12" uniqueCount="12">
  <si>
    <t>Year</t>
  </si>
  <si>
    <t>ROA</t>
  </si>
  <si>
    <t>ROE</t>
  </si>
  <si>
    <t>ESG_ score</t>
  </si>
  <si>
    <t>E_score</t>
  </si>
  <si>
    <t>S_score</t>
  </si>
  <si>
    <t>G _score</t>
  </si>
  <si>
    <t>Percent_ET</t>
  </si>
  <si>
    <t>Data used in analyses (Source: Bloomberg Terminal)</t>
  </si>
  <si>
    <t>TA (INR)</t>
  </si>
  <si>
    <t>CSR (INR)</t>
  </si>
  <si>
    <t>ES 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</si>
</sst>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,##0.00_ ;\-#,##0.0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ECECE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rgb="FFECECEC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0.14999847407452621"/>
        <bgColor rgb="FFE7E6E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4" fontId="2" fillId="4" borderId="0" xfId="0" applyNumberFormat="1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2" fontId="2" fillId="6" borderId="0" xfId="0" applyNumberFormat="1" applyFont="1" applyFill="1" applyAlignment="1">
      <alignment horizontal="center" vertical="center" wrapText="1"/>
    </xf>
    <xf numFmtId="2" fontId="2" fillId="4" borderId="0" xfId="0" applyNumberFormat="1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4" fontId="2" fillId="6" borderId="0" xfId="0" applyNumberFormat="1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11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" fontId="2" fillId="3" borderId="0" xfId="0" applyNumberFormat="1" applyFont="1" applyFill="1" applyAlignment="1">
      <alignment horizontal="center" vertical="center" wrapText="1"/>
    </xf>
    <xf numFmtId="4" fontId="2" fillId="5" borderId="0" xfId="0" applyNumberFormat="1" applyFont="1" applyFill="1" applyAlignment="1">
      <alignment horizontal="center" vertical="center" wrapText="1"/>
    </xf>
    <xf numFmtId="1" fontId="2" fillId="4" borderId="0" xfId="0" applyNumberFormat="1" applyFont="1" applyFill="1" applyAlignment="1">
      <alignment horizontal="center" vertical="center" wrapText="1"/>
    </xf>
    <xf numFmtId="1" fontId="2" fillId="6" borderId="0" xfId="0" applyNumberFormat="1" applyFont="1" applyFill="1" applyAlignment="1">
      <alignment horizontal="center" vertical="center" wrapText="1"/>
    </xf>
    <xf numFmtId="4" fontId="2" fillId="6" borderId="0" xfId="1" applyNumberFormat="1" applyFont="1" applyFill="1" applyBorder="1" applyAlignment="1">
      <alignment horizontal="center" vertical="center" wrapText="1"/>
    </xf>
    <xf numFmtId="4" fontId="2" fillId="4" borderId="0" xfId="1" applyNumberFormat="1" applyFont="1" applyFill="1" applyBorder="1" applyAlignment="1">
      <alignment horizontal="center" vertical="center" wrapText="1"/>
    </xf>
    <xf numFmtId="4" fontId="2" fillId="6" borderId="0" xfId="2" applyNumberFormat="1" applyFont="1" applyFill="1" applyBorder="1" applyAlignment="1">
      <alignment horizontal="center" vertical="center" wrapText="1"/>
    </xf>
    <xf numFmtId="4" fontId="2" fillId="8" borderId="0" xfId="0" applyNumberFormat="1" applyFont="1" applyFill="1" applyAlignment="1">
      <alignment horizontal="center" vertical="center" wrapText="1"/>
    </xf>
    <xf numFmtId="4" fontId="2" fillId="9" borderId="0" xfId="0" applyNumberFormat="1" applyFont="1" applyFill="1" applyAlignment="1">
      <alignment horizontal="center" vertical="center" wrapText="1"/>
    </xf>
    <xf numFmtId="4" fontId="2" fillId="10" borderId="0" xfId="0" applyNumberFormat="1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6" fillId="4" borderId="0" xfId="3" applyNumberFormat="1" applyFont="1" applyFill="1" applyBorder="1" applyAlignment="1">
      <alignment horizontal="right"/>
    </xf>
    <xf numFmtId="164" fontId="6" fillId="6" borderId="0" xfId="3" applyNumberFormat="1" applyFont="1" applyFill="1" applyBorder="1" applyAlignment="1">
      <alignment horizontal="right"/>
    </xf>
    <xf numFmtId="4" fontId="3" fillId="0" borderId="1" xfId="0" applyNumberFormat="1" applyFont="1" applyBorder="1" applyAlignment="1">
      <alignment horizontal="center" vertical="center" wrapText="1"/>
    </xf>
  </cellXfs>
  <cellStyles count="4">
    <cellStyle name="Comma" xfId="1" builtinId="3"/>
    <cellStyle name="Comma 2" xfId="3" xr:uid="{E466A295-FC60-4FA3-866F-DB81125281EA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EFCE-99A4-4DCF-A1B1-EB75BE06F432}">
  <sheetPr>
    <tabColor rgb="FFFFFF00"/>
  </sheetPr>
  <dimension ref="B1:Q178"/>
  <sheetViews>
    <sheetView showGridLines="0" tabSelected="1" topLeftCell="D1" workbookViewId="0">
      <selection activeCell="F1" sqref="F1:F1048576"/>
    </sheetView>
  </sheetViews>
  <sheetFormatPr defaultColWidth="9.6640625" defaultRowHeight="14.4" x14ac:dyDescent="0.3"/>
  <cols>
    <col min="1" max="1" width="1.109375" style="14" customWidth="1"/>
    <col min="2" max="2" width="9.6640625" style="14"/>
    <col min="3" max="3" width="31.44140625" style="14" bestFit="1" customWidth="1"/>
    <col min="4" max="4" width="11.21875" style="14" customWidth="1"/>
    <col min="5" max="10" width="9.6640625" style="14"/>
    <col min="11" max="11" width="12.109375" style="14" customWidth="1"/>
    <col min="12" max="12" width="12.5546875" style="14" customWidth="1"/>
    <col min="13" max="14" width="9.6640625" style="14"/>
    <col min="15" max="15" width="13.44140625" style="14" customWidth="1"/>
    <col min="16" max="16" width="12" bestFit="1" customWidth="1"/>
    <col min="18" max="16384" width="9.6640625" style="14"/>
  </cols>
  <sheetData>
    <row r="1" spans="2:16" x14ac:dyDescent="0.3">
      <c r="B1" s="12" t="s">
        <v>8</v>
      </c>
      <c r="C1" s="13"/>
      <c r="D1" s="13"/>
    </row>
    <row r="2" spans="2:16" ht="26.4" x14ac:dyDescent="0.3">
      <c r="B2" s="11" t="s">
        <v>0</v>
      </c>
      <c r="C2" s="11"/>
      <c r="D2" s="11" t="s">
        <v>3</v>
      </c>
      <c r="E2" s="11" t="s">
        <v>4</v>
      </c>
      <c r="F2" s="29"/>
      <c r="G2" s="11" t="s">
        <v>5</v>
      </c>
      <c r="H2" s="29"/>
      <c r="I2" s="11" t="s">
        <v>6</v>
      </c>
      <c r="J2" s="11" t="s">
        <v>10</v>
      </c>
      <c r="K2" s="15" t="s">
        <v>7</v>
      </c>
      <c r="L2" s="15"/>
      <c r="M2" s="11" t="s">
        <v>1</v>
      </c>
      <c r="N2" s="11" t="s">
        <v>2</v>
      </c>
      <c r="O2" s="11" t="s">
        <v>11</v>
      </c>
      <c r="P2" s="26" t="s">
        <v>9</v>
      </c>
    </row>
    <row r="3" spans="2:16" x14ac:dyDescent="0.3">
      <c r="B3" s="1">
        <v>2015</v>
      </c>
      <c r="C3" s="1"/>
      <c r="D3" s="16">
        <v>40.368200000000002</v>
      </c>
      <c r="E3" s="16">
        <v>20.779199999999999</v>
      </c>
      <c r="F3" s="16"/>
      <c r="G3" s="16">
        <v>15.2963</v>
      </c>
      <c r="H3" s="16"/>
      <c r="I3" s="16">
        <v>84.858500000000006</v>
      </c>
      <c r="J3" s="16">
        <v>204</v>
      </c>
      <c r="K3" s="16">
        <v>4.47</v>
      </c>
      <c r="L3" s="16"/>
      <c r="M3" s="16">
        <v>-2.3734999999999999</v>
      </c>
      <c r="N3" s="16">
        <v>-3.4561000000000002</v>
      </c>
      <c r="O3" s="14">
        <v>250.9893956040124</v>
      </c>
      <c r="P3" s="28">
        <v>105114.46</v>
      </c>
    </row>
    <row r="4" spans="2:16" x14ac:dyDescent="0.3">
      <c r="B4" s="1">
        <v>2016</v>
      </c>
      <c r="C4" s="1"/>
      <c r="D4" s="16">
        <v>41.4345</v>
      </c>
      <c r="E4" s="16">
        <v>20.779199999999999</v>
      </c>
      <c r="F4" s="16"/>
      <c r="G4" s="16">
        <v>13.4825</v>
      </c>
      <c r="H4" s="16"/>
      <c r="I4" s="16">
        <v>89.855500000000006</v>
      </c>
      <c r="J4" s="16">
        <v>193.61</v>
      </c>
      <c r="K4" s="16">
        <v>4.83</v>
      </c>
      <c r="L4" s="16"/>
      <c r="M4" s="16">
        <v>-0.22739999999999999</v>
      </c>
      <c r="N4" s="16">
        <v>-2.1248</v>
      </c>
      <c r="O4" s="16">
        <v>278.30938034760959</v>
      </c>
      <c r="P4" s="28">
        <v>111465.41</v>
      </c>
    </row>
    <row r="5" spans="2:16" x14ac:dyDescent="0.3">
      <c r="B5" s="1">
        <v>2017</v>
      </c>
      <c r="C5" s="1"/>
      <c r="D5" s="16">
        <v>41.675899999999999</v>
      </c>
      <c r="E5" s="16">
        <v>21.1114</v>
      </c>
      <c r="F5" s="16"/>
      <c r="G5" s="16">
        <v>13.875500000000001</v>
      </c>
      <c r="H5" s="16"/>
      <c r="I5" s="16">
        <v>89.855500000000006</v>
      </c>
      <c r="J5" s="16">
        <v>231.62</v>
      </c>
      <c r="K5" s="16">
        <v>6.1</v>
      </c>
      <c r="L5" s="16"/>
      <c r="M5" s="16">
        <v>-2.4175</v>
      </c>
      <c r="N5" s="16">
        <v>5.6601999999999997</v>
      </c>
      <c r="O5" s="16">
        <v>266.38231955645153</v>
      </c>
      <c r="P5" s="28">
        <v>125114.34</v>
      </c>
    </row>
    <row r="6" spans="2:16" x14ac:dyDescent="0.3">
      <c r="B6" s="1">
        <v>2018</v>
      </c>
      <c r="C6" s="1"/>
      <c r="D6" s="16">
        <v>41.786499999999997</v>
      </c>
      <c r="E6" s="16">
        <v>21.4437</v>
      </c>
      <c r="F6" s="16"/>
      <c r="G6" s="16">
        <v>13.875500000000001</v>
      </c>
      <c r="H6" s="16"/>
      <c r="I6" s="16">
        <v>89.855500000000006</v>
      </c>
      <c r="J6" s="16">
        <v>314.94</v>
      </c>
      <c r="K6" s="16">
        <v>6.4</v>
      </c>
      <c r="L6" s="16"/>
      <c r="M6" s="16">
        <v>7.0240999999999998</v>
      </c>
      <c r="N6" s="16">
        <v>12.4633</v>
      </c>
      <c r="O6" s="16">
        <v>260.37293099331094</v>
      </c>
      <c r="P6" s="28">
        <v>137498.35999999999</v>
      </c>
    </row>
    <row r="7" spans="2:16" x14ac:dyDescent="0.3">
      <c r="B7" s="1">
        <v>2019</v>
      </c>
      <c r="C7" s="1"/>
      <c r="D7" s="16">
        <v>41.786499999999997</v>
      </c>
      <c r="E7" s="16">
        <v>21.4437</v>
      </c>
      <c r="F7" s="16"/>
      <c r="G7" s="16">
        <v>13.875500000000001</v>
      </c>
      <c r="H7" s="16"/>
      <c r="I7" s="16">
        <v>89.855500000000006</v>
      </c>
      <c r="J7" s="16">
        <v>192.99</v>
      </c>
      <c r="K7" s="16">
        <v>6.8</v>
      </c>
      <c r="L7" s="16"/>
      <c r="M7" s="16">
        <v>4.5989000000000004</v>
      </c>
      <c r="N7" s="16">
        <v>14.1751</v>
      </c>
      <c r="O7" s="16">
        <v>260.37293099331094</v>
      </c>
      <c r="P7" s="28">
        <v>150392.56</v>
      </c>
    </row>
    <row r="8" spans="2:16" x14ac:dyDescent="0.3">
      <c r="B8" s="1">
        <v>2020</v>
      </c>
      <c r="C8" s="1"/>
      <c r="D8" s="16">
        <v>41.786499999999997</v>
      </c>
      <c r="E8" s="16">
        <v>21.4437</v>
      </c>
      <c r="F8" s="16"/>
      <c r="G8" s="16">
        <v>13.875500000000001</v>
      </c>
      <c r="H8" s="16"/>
      <c r="I8" s="16">
        <v>89.855500000000006</v>
      </c>
      <c r="J8" s="16">
        <v>221.98</v>
      </c>
      <c r="K8" s="16">
        <v>7.5</v>
      </c>
      <c r="L8" s="16"/>
      <c r="M8" s="16">
        <v>0.64319999999999999</v>
      </c>
      <c r="N8" s="16">
        <v>4.8098999999999998</v>
      </c>
      <c r="O8" s="16">
        <v>260.37293099331094</v>
      </c>
      <c r="P8" s="28">
        <v>180490.93</v>
      </c>
    </row>
    <row r="9" spans="2:16" x14ac:dyDescent="0.3">
      <c r="B9" s="1">
        <v>2021</v>
      </c>
      <c r="C9" s="1"/>
      <c r="D9" s="16">
        <v>43.204900000000002</v>
      </c>
      <c r="E9" s="16">
        <v>25.702200000000001</v>
      </c>
      <c r="F9" s="16"/>
      <c r="G9" s="16">
        <v>13.875500000000001</v>
      </c>
      <c r="H9" s="16"/>
      <c r="I9" s="16">
        <v>89.855500000000006</v>
      </c>
      <c r="J9" s="16">
        <v>405.97</v>
      </c>
      <c r="K9" s="16">
        <v>6.9</v>
      </c>
      <c r="L9" s="16"/>
      <c r="M9" s="16">
        <v>3.0207999999999999</v>
      </c>
      <c r="N9" s="16">
        <v>10.982100000000001</v>
      </c>
      <c r="O9" s="16">
        <v>183.36125119754175</v>
      </c>
      <c r="P9" s="28">
        <v>221986.22</v>
      </c>
    </row>
    <row r="10" spans="2:16" x14ac:dyDescent="0.3">
      <c r="B10" s="1">
        <v>2022</v>
      </c>
      <c r="C10" s="1"/>
      <c r="D10" s="16">
        <f>AVERAGE(D3:D9)</f>
        <v>41.720428571428563</v>
      </c>
      <c r="E10" s="16">
        <f>AVERAGE(E3:E9)</f>
        <v>21.814728571428571</v>
      </c>
      <c r="F10" s="16"/>
      <c r="G10" s="16">
        <f>AVERAGE(G3:G9)</f>
        <v>14.022328571428572</v>
      </c>
      <c r="H10" s="16"/>
      <c r="I10" s="16">
        <f>AVERAGE(I3:I9)</f>
        <v>89.141642857142855</v>
      </c>
      <c r="J10" s="16">
        <v>481</v>
      </c>
      <c r="K10" s="16">
        <v>7.4</v>
      </c>
      <c r="L10" s="16"/>
      <c r="M10" s="16">
        <v>15.1258</v>
      </c>
      <c r="N10" s="16">
        <v>42.591200000000001</v>
      </c>
      <c r="O10" s="16">
        <v>251.60363656446609</v>
      </c>
      <c r="P10" s="28">
        <v>242695.73</v>
      </c>
    </row>
    <row r="11" spans="2:16" x14ac:dyDescent="0.3">
      <c r="B11" s="2">
        <v>2015</v>
      </c>
      <c r="C11" s="2"/>
      <c r="D11" s="17">
        <v>48.667099999999998</v>
      </c>
      <c r="E11" s="17">
        <v>36.333399999999997</v>
      </c>
      <c r="F11" s="16"/>
      <c r="G11" s="17">
        <v>24.6675</v>
      </c>
      <c r="H11" s="16"/>
      <c r="I11" s="17">
        <v>84.858500000000006</v>
      </c>
      <c r="J11" s="3">
        <v>34.15</v>
      </c>
      <c r="K11" s="3">
        <v>7</v>
      </c>
      <c r="L11" s="16"/>
      <c r="M11" s="17">
        <v>0.60509999999999997</v>
      </c>
      <c r="N11" s="17">
        <v>4.5332999999999997</v>
      </c>
      <c r="O11" s="17">
        <v>-3.5871066509670047</v>
      </c>
      <c r="P11" s="27">
        <v>80441.52</v>
      </c>
    </row>
    <row r="12" spans="2:16" x14ac:dyDescent="0.3">
      <c r="B12" s="2">
        <v>2016</v>
      </c>
      <c r="C12" s="2"/>
      <c r="D12" s="17">
        <v>44.613199999999999</v>
      </c>
      <c r="E12" s="17">
        <v>31.168800000000001</v>
      </c>
      <c r="F12" s="16"/>
      <c r="G12" s="17">
        <v>17.654199999999999</v>
      </c>
      <c r="H12" s="16"/>
      <c r="I12" s="17">
        <v>84.858500000000006</v>
      </c>
      <c r="J12" s="17">
        <v>28.36</v>
      </c>
      <c r="K12" s="3">
        <v>8.8800000000000008</v>
      </c>
      <c r="L12" s="16"/>
      <c r="M12" s="17">
        <v>-0.1759</v>
      </c>
      <c r="N12" s="17">
        <v>-0.65110000000000001</v>
      </c>
      <c r="O12" s="17">
        <v>66.845316765871956</v>
      </c>
      <c r="P12" s="27">
        <v>86634.99</v>
      </c>
    </row>
    <row r="13" spans="2:16" x14ac:dyDescent="0.3">
      <c r="B13" s="2">
        <v>2017</v>
      </c>
      <c r="C13" s="2"/>
      <c r="D13" s="17">
        <v>44.955199999999998</v>
      </c>
      <c r="E13" s="17">
        <v>31.168800000000001</v>
      </c>
      <c r="F13" s="16"/>
      <c r="G13" s="17">
        <v>18.681999999999999</v>
      </c>
      <c r="H13" s="16"/>
      <c r="I13" s="17">
        <v>84.858500000000006</v>
      </c>
      <c r="J13" s="17">
        <v>28.36</v>
      </c>
      <c r="K13" s="3">
        <v>10.5</v>
      </c>
      <c r="L13" s="16"/>
      <c r="M13" s="17">
        <v>1.3148</v>
      </c>
      <c r="N13" s="17">
        <v>4.1553000000000004</v>
      </c>
      <c r="O13" s="17">
        <v>62.0427242036682</v>
      </c>
      <c r="P13" s="27">
        <v>82728.91</v>
      </c>
    </row>
    <row r="14" spans="2:16" x14ac:dyDescent="0.3">
      <c r="B14" s="2">
        <v>2018</v>
      </c>
      <c r="C14" s="2"/>
      <c r="D14" s="17">
        <v>44.955199999999998</v>
      </c>
      <c r="E14" s="17">
        <v>31.168800000000001</v>
      </c>
      <c r="F14" s="16"/>
      <c r="G14" s="17">
        <v>18.681999999999999</v>
      </c>
      <c r="H14" s="16"/>
      <c r="I14" s="17">
        <v>84.858500000000006</v>
      </c>
      <c r="J14" s="17">
        <v>34</v>
      </c>
      <c r="K14" s="3">
        <v>4.0999999999999996</v>
      </c>
      <c r="L14" s="16"/>
      <c r="M14" s="17">
        <v>4.1265000000000001</v>
      </c>
      <c r="N14" s="17">
        <v>11.4689</v>
      </c>
      <c r="O14" s="17">
        <v>62.0427242036682</v>
      </c>
      <c r="P14" s="27">
        <v>81502</v>
      </c>
    </row>
    <row r="15" spans="2:16" x14ac:dyDescent="0.3">
      <c r="B15" s="2">
        <v>2019</v>
      </c>
      <c r="C15" s="2"/>
      <c r="D15" s="17">
        <v>44.955199999999998</v>
      </c>
      <c r="E15" s="17">
        <v>31.168800000000001</v>
      </c>
      <c r="F15" s="16"/>
      <c r="G15" s="17">
        <v>18.681999999999999</v>
      </c>
      <c r="H15" s="16"/>
      <c r="I15" s="17">
        <v>84.858500000000006</v>
      </c>
      <c r="J15" s="17">
        <v>48.65</v>
      </c>
      <c r="K15" s="3">
        <v>7</v>
      </c>
      <c r="L15" s="16"/>
      <c r="M15" s="17">
        <v>3.6558000000000002</v>
      </c>
      <c r="N15" s="17">
        <v>9.4695</v>
      </c>
      <c r="O15" s="17">
        <v>62.0427242036682</v>
      </c>
      <c r="P15" s="27">
        <v>80058</v>
      </c>
    </row>
    <row r="16" spans="2:16" x14ac:dyDescent="0.3">
      <c r="B16" s="2">
        <v>2020</v>
      </c>
      <c r="C16" s="2"/>
      <c r="D16" s="17">
        <v>42.359900000000003</v>
      </c>
      <c r="E16" s="17">
        <v>24.403500000000001</v>
      </c>
      <c r="F16" s="16"/>
      <c r="G16" s="17">
        <v>17.654199999999999</v>
      </c>
      <c r="H16" s="16"/>
      <c r="I16" s="17">
        <v>84.858500000000006</v>
      </c>
      <c r="J16" s="17">
        <v>53.99</v>
      </c>
      <c r="K16" s="3">
        <v>4.9000000000000004</v>
      </c>
      <c r="L16" s="16"/>
      <c r="M16" s="17">
        <v>2.3370000000000002</v>
      </c>
      <c r="N16" s="17">
        <v>6.7927</v>
      </c>
      <c r="O16" s="17">
        <v>163.62649717502597</v>
      </c>
      <c r="P16" s="27">
        <v>87947</v>
      </c>
    </row>
    <row r="17" spans="2:16" x14ac:dyDescent="0.3">
      <c r="B17" s="2">
        <v>2021</v>
      </c>
      <c r="C17" s="2"/>
      <c r="D17" s="17">
        <v>42.359900000000003</v>
      </c>
      <c r="E17" s="17">
        <v>24.403500000000001</v>
      </c>
      <c r="F17" s="16"/>
      <c r="G17" s="17">
        <v>17.654199999999999</v>
      </c>
      <c r="H17" s="16"/>
      <c r="I17" s="17">
        <v>84.858500000000006</v>
      </c>
      <c r="J17" s="17">
        <v>55.04</v>
      </c>
      <c r="K17" s="3">
        <v>7</v>
      </c>
      <c r="L17" s="16"/>
      <c r="M17" s="17">
        <v>1.9389000000000001</v>
      </c>
      <c r="N17" s="17">
        <v>8.6409000000000002</v>
      </c>
      <c r="O17" s="17">
        <v>163.62649717502597</v>
      </c>
      <c r="P17" s="27">
        <v>99057</v>
      </c>
    </row>
    <row r="18" spans="2:16" x14ac:dyDescent="0.3">
      <c r="B18" s="2">
        <v>2022</v>
      </c>
      <c r="C18" s="2"/>
      <c r="D18" s="17">
        <v>42.359900000000003</v>
      </c>
      <c r="E18" s="17">
        <v>24.403500000000001</v>
      </c>
      <c r="F18" s="16"/>
      <c r="G18" s="17">
        <v>17.654199999999999</v>
      </c>
      <c r="H18" s="16"/>
      <c r="I18" s="17">
        <v>84.858500000000006</v>
      </c>
      <c r="J18" s="17">
        <v>67.89</v>
      </c>
      <c r="K18" s="3">
        <v>7.21</v>
      </c>
      <c r="L18" s="16"/>
      <c r="M18" s="17">
        <v>6.6520000000000001</v>
      </c>
      <c r="N18" s="17">
        <v>20.901599999999998</v>
      </c>
      <c r="O18" s="17">
        <v>163.62649717502597</v>
      </c>
      <c r="P18" s="27">
        <v>96922</v>
      </c>
    </row>
    <row r="19" spans="2:16" x14ac:dyDescent="0.3">
      <c r="B19" s="1">
        <v>2015</v>
      </c>
      <c r="C19" s="1"/>
      <c r="D19" s="16">
        <v>53.576099999999997</v>
      </c>
      <c r="E19" s="16">
        <v>44.397500000000001</v>
      </c>
      <c r="F19" s="16"/>
      <c r="G19" s="16">
        <v>31.348199999999999</v>
      </c>
      <c r="H19" s="16"/>
      <c r="I19" s="16">
        <v>84.858500000000006</v>
      </c>
      <c r="J19" s="16">
        <v>430</v>
      </c>
      <c r="K19" s="16">
        <v>1.19</v>
      </c>
      <c r="L19" s="16"/>
      <c r="M19" s="16">
        <v>2.6492</v>
      </c>
      <c r="N19" s="16">
        <v>10.807399999999999</v>
      </c>
      <c r="O19" s="16">
        <v>-5.2322282925163748</v>
      </c>
      <c r="P19" s="28">
        <v>74892.399999999994</v>
      </c>
    </row>
    <row r="20" spans="2:16" x14ac:dyDescent="0.3">
      <c r="B20" s="1">
        <v>2016</v>
      </c>
      <c r="C20" s="1"/>
      <c r="D20" s="16">
        <v>45.397799999999997</v>
      </c>
      <c r="E20" s="16">
        <v>32.648699999999998</v>
      </c>
      <c r="F20" s="16"/>
      <c r="G20" s="16">
        <v>31.106400000000001</v>
      </c>
      <c r="H20" s="16"/>
      <c r="I20" s="16">
        <v>72.335899999999995</v>
      </c>
      <c r="J20" s="16">
        <v>513.6</v>
      </c>
      <c r="K20" s="16">
        <v>2.0099999999999998</v>
      </c>
      <c r="L20" s="16"/>
      <c r="M20" s="16">
        <v>-0.39839999999999998</v>
      </c>
      <c r="N20" s="16">
        <v>-1.5669999999999999</v>
      </c>
      <c r="O20" s="16">
        <v>2.7244947277640272</v>
      </c>
      <c r="P20" s="28">
        <v>73028.210000000006</v>
      </c>
    </row>
    <row r="21" spans="2:16" x14ac:dyDescent="0.3">
      <c r="B21" s="1">
        <v>2017</v>
      </c>
      <c r="C21" s="1"/>
      <c r="D21" s="16">
        <v>45.498399999999997</v>
      </c>
      <c r="E21" s="16">
        <v>32.950800000000001</v>
      </c>
      <c r="F21" s="16"/>
      <c r="G21" s="16">
        <v>31.106400000000001</v>
      </c>
      <c r="H21" s="16"/>
      <c r="I21" s="16">
        <v>72.335899999999995</v>
      </c>
      <c r="J21" s="16">
        <v>429.4</v>
      </c>
      <c r="K21" s="16">
        <v>3.25</v>
      </c>
      <c r="L21" s="16"/>
      <c r="M21" s="16">
        <v>4.1314000000000002</v>
      </c>
      <c r="N21" s="16">
        <v>17.365100000000002</v>
      </c>
      <c r="O21" s="16">
        <v>2.4667047037563048</v>
      </c>
      <c r="P21" s="28">
        <v>80959</v>
      </c>
    </row>
    <row r="22" spans="2:16" x14ac:dyDescent="0.3">
      <c r="B22" s="1">
        <v>2018</v>
      </c>
      <c r="C22" s="1"/>
      <c r="D22" s="16">
        <v>51.101500000000001</v>
      </c>
      <c r="E22" s="16">
        <v>34.3703</v>
      </c>
      <c r="F22" s="16"/>
      <c r="G22" s="16">
        <v>33.948</v>
      </c>
      <c r="H22" s="16"/>
      <c r="I22" s="16">
        <v>84.858500000000006</v>
      </c>
      <c r="J22" s="16">
        <v>610</v>
      </c>
      <c r="K22" s="16">
        <v>4.6500000000000004</v>
      </c>
      <c r="L22" s="16"/>
      <c r="M22" s="16">
        <v>6.9002999999999997</v>
      </c>
      <c r="N22" s="16">
        <v>25.125499999999999</v>
      </c>
      <c r="O22" s="16">
        <v>-2.9251311039676788</v>
      </c>
      <c r="P22" s="28">
        <v>85551</v>
      </c>
    </row>
    <row r="23" spans="2:16" x14ac:dyDescent="0.3">
      <c r="B23" s="1">
        <v>2019</v>
      </c>
      <c r="C23" s="1"/>
      <c r="D23" s="16">
        <v>50.578400000000002</v>
      </c>
      <c r="E23" s="16">
        <v>34.3703</v>
      </c>
      <c r="F23" s="16"/>
      <c r="G23" s="16">
        <v>32.376100000000001</v>
      </c>
      <c r="H23" s="16"/>
      <c r="I23" s="16">
        <v>84.858500000000006</v>
      </c>
      <c r="J23" s="16">
        <v>630</v>
      </c>
      <c r="K23" s="16">
        <v>5.38</v>
      </c>
      <c r="L23" s="16"/>
      <c r="M23" s="16">
        <v>7.3830999999999998</v>
      </c>
      <c r="N23" s="16">
        <v>24.297599999999999</v>
      </c>
      <c r="O23" s="16">
        <v>-0.61256482035405946</v>
      </c>
      <c r="P23" s="28">
        <v>107425</v>
      </c>
    </row>
    <row r="24" spans="2:16" x14ac:dyDescent="0.3">
      <c r="B24" s="1">
        <v>2020</v>
      </c>
      <c r="C24" s="1"/>
      <c r="D24" s="16">
        <v>49.974899999999998</v>
      </c>
      <c r="E24" s="16">
        <v>34.3703</v>
      </c>
      <c r="F24" s="16"/>
      <c r="G24" s="16">
        <v>30.5623</v>
      </c>
      <c r="H24" s="16"/>
      <c r="I24" s="16">
        <v>84.858500000000006</v>
      </c>
      <c r="J24" s="16">
        <v>1520</v>
      </c>
      <c r="K24" s="16">
        <v>5.31</v>
      </c>
      <c r="L24" s="16"/>
      <c r="M24" s="16">
        <v>3.2667000000000002</v>
      </c>
      <c r="N24" s="16">
        <v>11.3277</v>
      </c>
      <c r="O24" s="16">
        <v>2.0558827432431066</v>
      </c>
      <c r="P24" s="28">
        <v>122042</v>
      </c>
    </row>
    <row r="25" spans="2:16" x14ac:dyDescent="0.3">
      <c r="B25" s="1">
        <v>2021</v>
      </c>
      <c r="C25" s="1"/>
      <c r="D25" s="16">
        <v>49.884300000000003</v>
      </c>
      <c r="E25" s="16">
        <v>31.531300000000002</v>
      </c>
      <c r="F25" s="16"/>
      <c r="G25" s="16">
        <v>33.131799999999998</v>
      </c>
      <c r="H25" s="16"/>
      <c r="I25" s="16">
        <v>84.858500000000006</v>
      </c>
      <c r="J25" s="16">
        <v>1760</v>
      </c>
      <c r="K25" s="16">
        <v>5.76</v>
      </c>
      <c r="L25" s="16"/>
      <c r="M25" s="16">
        <v>5.6712999999999996</v>
      </c>
      <c r="N25" s="16">
        <v>19.296700000000001</v>
      </c>
      <c r="O25" s="16">
        <v>-5.0518602484201303</v>
      </c>
      <c r="P25" s="28">
        <v>133232</v>
      </c>
    </row>
    <row r="26" spans="2:16" x14ac:dyDescent="0.3">
      <c r="B26" s="1">
        <v>2022</v>
      </c>
      <c r="C26" s="1"/>
      <c r="D26" s="16">
        <f t="shared" ref="D26:K26" si="0">AVERAGE(D19:D25)</f>
        <v>49.430199999999999</v>
      </c>
      <c r="E26" s="16">
        <f t="shared" si="0"/>
        <v>34.948457142857137</v>
      </c>
      <c r="F26" s="16"/>
      <c r="G26" s="16">
        <f t="shared" si="0"/>
        <v>31.939885714285715</v>
      </c>
      <c r="H26" s="16"/>
      <c r="I26" s="16">
        <f t="shared" si="0"/>
        <v>81.280614285714279</v>
      </c>
      <c r="J26" s="16">
        <v>1820</v>
      </c>
      <c r="K26" s="16">
        <f t="shared" si="0"/>
        <v>3.9357142857142855</v>
      </c>
      <c r="L26" s="16"/>
      <c r="M26" s="16">
        <v>12.0268</v>
      </c>
      <c r="N26" s="16">
        <v>35.860900000000001</v>
      </c>
      <c r="O26" s="16">
        <v>1.7718769112987566E-2</v>
      </c>
      <c r="P26" s="28">
        <v>162870</v>
      </c>
    </row>
    <row r="27" spans="2:16" x14ac:dyDescent="0.3">
      <c r="B27" s="2">
        <v>2015</v>
      </c>
      <c r="C27" s="2"/>
      <c r="D27" s="17">
        <v>43.577100000000002</v>
      </c>
      <c r="E27" s="17">
        <v>21.987300000000001</v>
      </c>
      <c r="F27" s="16"/>
      <c r="G27" s="17">
        <v>39.389400000000002</v>
      </c>
      <c r="H27" s="16"/>
      <c r="I27" s="17">
        <v>69.265500000000003</v>
      </c>
      <c r="J27" s="17">
        <v>2400</v>
      </c>
      <c r="K27" s="17">
        <v>4.42</v>
      </c>
      <c r="L27" s="16"/>
      <c r="M27" s="17">
        <v>5.5343999999999998</v>
      </c>
      <c r="N27" s="17">
        <v>13.771000000000001</v>
      </c>
      <c r="O27" s="17">
        <v>-102.93211712349935</v>
      </c>
      <c r="P27" s="27">
        <v>22056.36</v>
      </c>
    </row>
    <row r="28" spans="2:16" x14ac:dyDescent="0.3">
      <c r="B28" s="2">
        <v>2016</v>
      </c>
      <c r="C28" s="2"/>
      <c r="D28" s="17">
        <v>39.251600000000003</v>
      </c>
      <c r="E28" s="17">
        <v>20.567799999999998</v>
      </c>
      <c r="F28" s="16"/>
      <c r="G28" s="17">
        <v>27.811399999999999</v>
      </c>
      <c r="H28" s="16"/>
      <c r="I28" s="17">
        <v>69.265500000000003</v>
      </c>
      <c r="J28" s="17">
        <v>4320</v>
      </c>
      <c r="K28" s="17">
        <v>4.9400000000000004</v>
      </c>
      <c r="L28" s="16"/>
      <c r="M28" s="17">
        <v>3.7818999999999998</v>
      </c>
      <c r="N28" s="17">
        <v>9.5488</v>
      </c>
      <c r="O28" s="17">
        <v>63.360264632129777</v>
      </c>
      <c r="P28" s="27">
        <v>25396.400000000001</v>
      </c>
    </row>
    <row r="29" spans="2:16" x14ac:dyDescent="0.3">
      <c r="B29" s="2">
        <v>2017</v>
      </c>
      <c r="C29" s="2"/>
      <c r="D29" s="17">
        <v>50.085500000000003</v>
      </c>
      <c r="E29" s="17">
        <v>51.9178</v>
      </c>
      <c r="F29" s="16"/>
      <c r="G29" s="17">
        <v>28.990300000000001</v>
      </c>
      <c r="H29" s="16"/>
      <c r="I29" s="17">
        <v>69.265500000000003</v>
      </c>
      <c r="J29" s="17">
        <v>5247.36</v>
      </c>
      <c r="K29" s="17">
        <v>5.79</v>
      </c>
      <c r="L29" s="16"/>
      <c r="M29" s="17">
        <v>6.1978999999999997</v>
      </c>
      <c r="N29" s="17">
        <v>12.2806</v>
      </c>
      <c r="O29" s="17">
        <v>-47.737420494984505</v>
      </c>
      <c r="P29" s="27">
        <v>29435.07</v>
      </c>
    </row>
    <row r="30" spans="2:16" x14ac:dyDescent="0.3">
      <c r="B30" s="2">
        <v>2018</v>
      </c>
      <c r="C30" s="2"/>
      <c r="D30" s="17">
        <v>50.950600000000001</v>
      </c>
      <c r="E30" s="17">
        <v>51.9178</v>
      </c>
      <c r="F30" s="16"/>
      <c r="G30" s="17">
        <v>31.5901</v>
      </c>
      <c r="H30" s="16"/>
      <c r="I30" s="17">
        <v>69.265500000000003</v>
      </c>
      <c r="J30" s="17">
        <v>5197.3500000000004</v>
      </c>
      <c r="K30" s="17">
        <v>6.64</v>
      </c>
      <c r="L30" s="16"/>
      <c r="M30" s="17">
        <v>4.8818999999999999</v>
      </c>
      <c r="N30" s="17">
        <v>11.22</v>
      </c>
      <c r="O30" s="17">
        <v>-5.9422342599751117</v>
      </c>
      <c r="P30" s="27">
        <v>29366.13</v>
      </c>
    </row>
    <row r="31" spans="2:16" x14ac:dyDescent="0.3">
      <c r="B31" s="2">
        <v>2019</v>
      </c>
      <c r="C31" s="2"/>
      <c r="D31" s="17">
        <v>47.761800000000001</v>
      </c>
      <c r="E31" s="17">
        <v>41.7699</v>
      </c>
      <c r="F31" s="16"/>
      <c r="G31" s="17">
        <v>31.5901</v>
      </c>
      <c r="H31" s="16"/>
      <c r="I31" s="17">
        <v>69.837400000000002</v>
      </c>
      <c r="J31" s="17">
        <v>6572.94</v>
      </c>
      <c r="K31" s="17">
        <v>7.32</v>
      </c>
      <c r="L31" s="16"/>
      <c r="M31" s="17">
        <v>6.4071999999999996</v>
      </c>
      <c r="N31" s="17">
        <v>13.6866</v>
      </c>
      <c r="O31" s="17">
        <v>-2.1912985325837049</v>
      </c>
      <c r="P31" s="27">
        <v>28633</v>
      </c>
    </row>
    <row r="32" spans="2:16" x14ac:dyDescent="0.3">
      <c r="B32" s="2">
        <v>2020</v>
      </c>
      <c r="C32" s="2"/>
      <c r="D32" s="17">
        <v>44.2913</v>
      </c>
      <c r="E32" s="17">
        <v>34.944099999999999</v>
      </c>
      <c r="F32" s="16"/>
      <c r="G32" s="17">
        <v>27.992699999999999</v>
      </c>
      <c r="H32" s="16"/>
      <c r="I32" s="17">
        <v>69.837400000000002</v>
      </c>
      <c r="J32" s="17">
        <v>6853.78</v>
      </c>
      <c r="K32" s="17">
        <v>7.19</v>
      </c>
      <c r="L32" s="16"/>
      <c r="M32" s="17">
        <v>2.1537000000000002</v>
      </c>
      <c r="N32" s="17">
        <v>2.0699000000000001</v>
      </c>
      <c r="O32" s="17">
        <v>3.5599770444016032</v>
      </c>
      <c r="P32" s="27">
        <v>28336.19</v>
      </c>
    </row>
    <row r="33" spans="2:16" x14ac:dyDescent="0.3">
      <c r="B33" s="2">
        <v>2021</v>
      </c>
      <c r="C33" s="2"/>
      <c r="D33" s="17">
        <v>40.951599999999999</v>
      </c>
      <c r="E33" s="17">
        <v>34.944099999999999</v>
      </c>
      <c r="F33" s="16"/>
      <c r="G33" s="17">
        <v>24.244299999999999</v>
      </c>
      <c r="H33" s="16"/>
      <c r="I33" s="17">
        <v>63.5762</v>
      </c>
      <c r="J33" s="17">
        <v>5530.74</v>
      </c>
      <c r="K33" s="17">
        <v>7</v>
      </c>
      <c r="L33" s="16"/>
      <c r="M33" s="17">
        <v>3.0958999999999999</v>
      </c>
      <c r="N33" s="17">
        <v>8.1234999999999999</v>
      </c>
      <c r="O33" s="17">
        <v>6.9237602128279043</v>
      </c>
      <c r="P33" s="27">
        <v>27404.43</v>
      </c>
    </row>
    <row r="34" spans="2:16" x14ac:dyDescent="0.3">
      <c r="B34" s="2">
        <v>2022</v>
      </c>
      <c r="C34" s="2"/>
      <c r="D34" s="17">
        <v>44.210799999999999</v>
      </c>
      <c r="E34" s="17">
        <v>34.944099999999999</v>
      </c>
      <c r="F34" s="16"/>
      <c r="G34" s="17">
        <v>34.038699999999999</v>
      </c>
      <c r="H34" s="16"/>
      <c r="I34" s="17">
        <v>63.5762</v>
      </c>
      <c r="J34" s="17">
        <v>4554.8500000000004</v>
      </c>
      <c r="K34" s="17">
        <v>6.68</v>
      </c>
      <c r="L34" s="16"/>
      <c r="M34" s="17">
        <v>8.0661000000000005</v>
      </c>
      <c r="N34" s="17">
        <v>19.258099999999999</v>
      </c>
      <c r="O34" s="17">
        <v>-1.8656533675889562</v>
      </c>
      <c r="P34" s="27">
        <v>26800.9</v>
      </c>
    </row>
    <row r="35" spans="2:16" x14ac:dyDescent="0.3">
      <c r="B35" s="1">
        <v>2015</v>
      </c>
      <c r="C35" s="1"/>
      <c r="D35" s="16">
        <v>55.346499999999999</v>
      </c>
      <c r="E35" s="16">
        <v>56.025399999999998</v>
      </c>
      <c r="F35" s="16"/>
      <c r="G35" s="16">
        <v>37.605800000000002</v>
      </c>
      <c r="H35" s="16"/>
      <c r="I35" s="16">
        <v>72.335899999999995</v>
      </c>
      <c r="J35" s="16">
        <v>2364.1</v>
      </c>
      <c r="K35" s="16">
        <v>21.78</v>
      </c>
      <c r="L35" s="16"/>
      <c r="M35" s="16">
        <v>3.4268000000000001</v>
      </c>
      <c r="N35" s="16">
        <v>11.983499999999999</v>
      </c>
      <c r="O35" s="16">
        <v>113.95982369473136</v>
      </c>
      <c r="P35" s="28">
        <v>35499.57</v>
      </c>
    </row>
    <row r="36" spans="2:16" x14ac:dyDescent="0.3">
      <c r="B36" s="1">
        <v>2016</v>
      </c>
      <c r="C36" s="1"/>
      <c r="D36" s="16">
        <v>56.553699999999999</v>
      </c>
      <c r="E36" s="16">
        <v>56.025399999999998</v>
      </c>
      <c r="F36" s="16"/>
      <c r="G36" s="16">
        <v>41.233400000000003</v>
      </c>
      <c r="H36" s="16"/>
      <c r="I36" s="16">
        <v>72.335899999999995</v>
      </c>
      <c r="J36" s="16">
        <v>859.04</v>
      </c>
      <c r="K36" s="16">
        <v>33.890999999999998</v>
      </c>
      <c r="L36" s="16"/>
      <c r="M36" s="16">
        <v>3.2212999999999998</v>
      </c>
      <c r="N36" s="16">
        <v>11.779400000000001</v>
      </c>
      <c r="O36" s="16">
        <v>187.17896932753703</v>
      </c>
      <c r="P36" s="28">
        <v>39713.480000000003</v>
      </c>
    </row>
    <row r="37" spans="2:16" x14ac:dyDescent="0.3">
      <c r="B37" s="4">
        <v>2017</v>
      </c>
      <c r="C37" s="1"/>
      <c r="D37" s="16">
        <f>AVERAGE(D39,D36)</f>
        <v>57.428849999999997</v>
      </c>
      <c r="E37" s="16">
        <f t="shared" ref="E37:I37" si="1">AVERAGE(E39,E36)</f>
        <v>53.14105</v>
      </c>
      <c r="F37" s="16"/>
      <c r="G37" s="16">
        <f t="shared" si="1"/>
        <v>40.46255</v>
      </c>
      <c r="H37" s="16"/>
      <c r="I37" s="16">
        <f t="shared" si="1"/>
        <v>78.597200000000001</v>
      </c>
      <c r="J37" s="16">
        <f>AVERAGE(J35:J36)</f>
        <v>1611.57</v>
      </c>
      <c r="K37" s="16">
        <f>AVERAGE(K35:K36)</f>
        <v>27.8355</v>
      </c>
      <c r="L37" s="16"/>
      <c r="M37" s="16">
        <v>3.4340999999999999</v>
      </c>
      <c r="N37" s="16">
        <v>11.8996</v>
      </c>
      <c r="O37" s="16">
        <v>147.09508552057483</v>
      </c>
      <c r="P37" s="28">
        <v>47446.7</v>
      </c>
    </row>
    <row r="38" spans="2:16" x14ac:dyDescent="0.3">
      <c r="B38" s="4">
        <v>2018</v>
      </c>
      <c r="C38" s="1"/>
      <c r="D38" s="16">
        <f>AVERAGE(D37,D39)</f>
        <v>57.866425</v>
      </c>
      <c r="E38" s="16">
        <f t="shared" ref="E38:I38" si="2">AVERAGE(E37,E39)</f>
        <v>51.698875000000001</v>
      </c>
      <c r="F38" s="16"/>
      <c r="G38" s="16">
        <f t="shared" si="2"/>
        <v>40.077124999999995</v>
      </c>
      <c r="H38" s="16"/>
      <c r="I38" s="16">
        <f t="shared" si="2"/>
        <v>81.727850000000004</v>
      </c>
      <c r="J38" s="16">
        <f>AVERAGE(J35:J37)</f>
        <v>1611.57</v>
      </c>
      <c r="K38" s="16">
        <f>AVERAGE(K35:K37)</f>
        <v>27.8355</v>
      </c>
      <c r="L38" s="16"/>
      <c r="M38" s="16">
        <v>5.9617000000000004</v>
      </c>
      <c r="N38" s="16">
        <v>17.026499999999999</v>
      </c>
      <c r="O38" s="16">
        <v>128.7206945152187</v>
      </c>
      <c r="P38" s="28">
        <v>52697.06</v>
      </c>
    </row>
    <row r="39" spans="2:16" x14ac:dyDescent="0.3">
      <c r="B39" s="1">
        <v>2019</v>
      </c>
      <c r="C39" s="1"/>
      <c r="D39" s="16">
        <v>58.304000000000002</v>
      </c>
      <c r="E39" s="16">
        <v>50.256700000000002</v>
      </c>
      <c r="F39" s="16"/>
      <c r="G39" s="16">
        <v>39.691699999999997</v>
      </c>
      <c r="H39" s="16"/>
      <c r="I39" s="16">
        <v>84.858500000000006</v>
      </c>
      <c r="J39" s="16">
        <v>935</v>
      </c>
      <c r="K39" s="16">
        <f t="shared" ref="K39:K42" si="3">AVERAGE(K35:K38)</f>
        <v>27.8355</v>
      </c>
      <c r="L39" s="16"/>
      <c r="M39" s="16">
        <v>3.5365000000000002</v>
      </c>
      <c r="N39" s="16">
        <v>13.420400000000001</v>
      </c>
      <c r="O39" s="16">
        <v>111.45800410861266</v>
      </c>
      <c r="P39" s="28">
        <v>50502.06</v>
      </c>
    </row>
    <row r="40" spans="2:16" x14ac:dyDescent="0.3">
      <c r="B40" s="1">
        <v>2020</v>
      </c>
      <c r="C40" s="1"/>
      <c r="D40" s="16">
        <v>58.304000000000002</v>
      </c>
      <c r="E40" s="16">
        <v>50.256700000000002</v>
      </c>
      <c r="F40" s="16"/>
      <c r="G40" s="16">
        <v>39.691699999999997</v>
      </c>
      <c r="H40" s="16"/>
      <c r="I40" s="16">
        <v>84.858500000000006</v>
      </c>
      <c r="J40" s="16">
        <v>1270</v>
      </c>
      <c r="K40" s="16">
        <f t="shared" si="3"/>
        <v>29.349374999999998</v>
      </c>
      <c r="L40" s="16"/>
      <c r="M40" s="16">
        <v>7.6899999999999996E-2</v>
      </c>
      <c r="N40" s="16">
        <v>9.6936999999999998</v>
      </c>
      <c r="O40" s="16">
        <v>111.45800410861266</v>
      </c>
      <c r="P40" s="28">
        <v>61564.49</v>
      </c>
    </row>
    <row r="41" spans="2:16" x14ac:dyDescent="0.3">
      <c r="B41" s="1">
        <v>2021</v>
      </c>
      <c r="C41" s="1"/>
      <c r="D41" s="16">
        <v>59.973799999999997</v>
      </c>
      <c r="E41" s="16">
        <v>50.256700000000002</v>
      </c>
      <c r="F41" s="16"/>
      <c r="G41" s="16">
        <v>39.691699999999997</v>
      </c>
      <c r="H41" s="16"/>
      <c r="I41" s="16">
        <v>89.855500000000006</v>
      </c>
      <c r="J41" s="16">
        <v>927.81700000000001</v>
      </c>
      <c r="K41" s="16">
        <f t="shared" si="3"/>
        <v>28.213968749999999</v>
      </c>
      <c r="L41" s="16"/>
      <c r="M41" s="16">
        <v>1.0871</v>
      </c>
      <c r="N41" s="16">
        <v>11.262600000000001</v>
      </c>
      <c r="O41" s="16">
        <v>111.45800410861266</v>
      </c>
      <c r="P41" s="28">
        <v>66606.5</v>
      </c>
    </row>
    <row r="42" spans="2:16" x14ac:dyDescent="0.3">
      <c r="B42" s="1">
        <v>2022</v>
      </c>
      <c r="C42" s="1"/>
      <c r="D42" s="16">
        <v>66.5124</v>
      </c>
      <c r="E42" s="16">
        <v>70.643299999999996</v>
      </c>
      <c r="F42" s="16"/>
      <c r="G42" s="16">
        <v>38.935899999999997</v>
      </c>
      <c r="H42" s="16"/>
      <c r="I42" s="16">
        <v>89.855500000000006</v>
      </c>
      <c r="J42" s="16">
        <v>970.8</v>
      </c>
      <c r="K42" s="16">
        <f t="shared" si="3"/>
        <v>28.308585937499998</v>
      </c>
      <c r="L42" s="16"/>
      <c r="M42" s="16">
        <v>3.8624999999999998</v>
      </c>
      <c r="N42" s="16">
        <v>13.676500000000001</v>
      </c>
      <c r="O42" s="16">
        <v>242.78344241215811</v>
      </c>
      <c r="P42" s="28">
        <v>75779.81</v>
      </c>
    </row>
    <row r="43" spans="2:16" x14ac:dyDescent="0.3">
      <c r="B43" s="18">
        <v>2015</v>
      </c>
      <c r="C43" s="5"/>
      <c r="D43" s="3">
        <v>37.14</v>
      </c>
      <c r="E43" s="3">
        <v>21.84</v>
      </c>
      <c r="F43" s="16"/>
      <c r="G43" s="3">
        <v>14.24</v>
      </c>
      <c r="H43" s="16"/>
      <c r="I43" s="3">
        <v>75.2</v>
      </c>
      <c r="J43" s="3">
        <v>39.674999999999997</v>
      </c>
      <c r="K43" s="3">
        <v>0.72833333333333339</v>
      </c>
      <c r="L43" s="16"/>
      <c r="M43" s="3">
        <v>4.76</v>
      </c>
      <c r="N43" s="3">
        <v>11.79</v>
      </c>
      <c r="O43" s="3">
        <v>248.10260817911859</v>
      </c>
      <c r="P43" s="27">
        <v>224522.42</v>
      </c>
    </row>
    <row r="44" spans="2:16" x14ac:dyDescent="0.3">
      <c r="B44" s="18">
        <v>2016</v>
      </c>
      <c r="C44" s="5"/>
      <c r="D44" s="3">
        <v>43.02</v>
      </c>
      <c r="E44" s="3">
        <v>23.26</v>
      </c>
      <c r="F44" s="16"/>
      <c r="G44" s="3">
        <v>24.58</v>
      </c>
      <c r="H44" s="16"/>
      <c r="I44" s="3">
        <v>81.099999999999994</v>
      </c>
      <c r="J44" s="3">
        <v>75.2</v>
      </c>
      <c r="K44" s="3">
        <v>1.1200000000000001</v>
      </c>
      <c r="L44" s="16"/>
      <c r="M44" s="3">
        <v>4.8600000000000003</v>
      </c>
      <c r="N44" s="3">
        <v>12.44</v>
      </c>
      <c r="O44" s="3">
        <v>92.847971624374509</v>
      </c>
      <c r="P44" s="27">
        <v>241094.65</v>
      </c>
    </row>
    <row r="45" spans="2:16" x14ac:dyDescent="0.3">
      <c r="B45" s="18">
        <v>2017</v>
      </c>
      <c r="C45" s="5"/>
      <c r="D45" s="3">
        <v>51.29</v>
      </c>
      <c r="E45" s="3">
        <v>46.12</v>
      </c>
      <c r="F45" s="16"/>
      <c r="G45" s="3">
        <v>26.18</v>
      </c>
      <c r="H45" s="16"/>
      <c r="I45" s="3">
        <v>81.459999999999994</v>
      </c>
      <c r="J45" s="3">
        <v>41.4</v>
      </c>
      <c r="K45" s="3">
        <v>1.18</v>
      </c>
      <c r="L45" s="16"/>
      <c r="M45" s="3">
        <v>4.53</v>
      </c>
      <c r="N45" s="3">
        <v>11.32</v>
      </c>
      <c r="O45" s="3">
        <v>-59.406969622965661</v>
      </c>
      <c r="P45" s="27">
        <v>275861.61</v>
      </c>
    </row>
    <row r="46" spans="2:16" x14ac:dyDescent="0.3">
      <c r="B46" s="18">
        <v>2018</v>
      </c>
      <c r="C46" s="5"/>
      <c r="D46" s="3">
        <v>54.57</v>
      </c>
      <c r="E46" s="3">
        <v>49.26</v>
      </c>
      <c r="F46" s="16"/>
      <c r="G46" s="3">
        <v>26.96</v>
      </c>
      <c r="H46" s="16"/>
      <c r="I46" s="3">
        <v>87.36</v>
      </c>
      <c r="J46" s="3">
        <v>37.5</v>
      </c>
      <c r="K46" s="3">
        <v>0.69</v>
      </c>
      <c r="L46" s="16"/>
      <c r="M46" s="3">
        <v>3.97</v>
      </c>
      <c r="N46" s="3">
        <v>10.47</v>
      </c>
      <c r="O46" s="3">
        <v>-67.088875302348882</v>
      </c>
      <c r="P46" s="27">
        <v>302198.73</v>
      </c>
    </row>
    <row r="47" spans="2:16" x14ac:dyDescent="0.3">
      <c r="B47" s="18">
        <v>2019</v>
      </c>
      <c r="C47" s="5"/>
      <c r="D47" s="3">
        <v>54.21</v>
      </c>
      <c r="E47" s="3">
        <v>42.49</v>
      </c>
      <c r="F47" s="16"/>
      <c r="G47" s="3">
        <v>32.65</v>
      </c>
      <c r="H47" s="16"/>
      <c r="I47" s="3">
        <v>87.36</v>
      </c>
      <c r="J47" s="3">
        <v>40.799999999999997</v>
      </c>
      <c r="K47" s="3">
        <v>0.24</v>
      </c>
      <c r="L47" s="16"/>
      <c r="M47" s="3">
        <v>4.37</v>
      </c>
      <c r="N47" s="3">
        <v>12.78</v>
      </c>
      <c r="O47" s="3">
        <v>4.5892871273499596</v>
      </c>
      <c r="P47" s="27">
        <v>340451.9</v>
      </c>
    </row>
    <row r="48" spans="2:16" x14ac:dyDescent="0.3">
      <c r="B48" s="18">
        <v>2020</v>
      </c>
      <c r="C48" s="5"/>
      <c r="D48" s="3">
        <v>55.95</v>
      </c>
      <c r="E48" s="3">
        <v>42.52</v>
      </c>
      <c r="F48" s="16"/>
      <c r="G48" s="3">
        <v>37.85</v>
      </c>
      <c r="H48" s="16"/>
      <c r="I48" s="3">
        <v>87.36</v>
      </c>
      <c r="J48" s="3">
        <v>43</v>
      </c>
      <c r="K48" s="3">
        <v>0.82</v>
      </c>
      <c r="L48" s="16"/>
      <c r="M48" s="3">
        <v>3.2</v>
      </c>
      <c r="N48" s="3">
        <v>10.08</v>
      </c>
      <c r="O48" s="3">
        <v>39.338238316901666</v>
      </c>
      <c r="P48" s="27">
        <v>354345.48</v>
      </c>
    </row>
    <row r="49" spans="2:16" x14ac:dyDescent="0.3">
      <c r="B49" s="18">
        <v>2021</v>
      </c>
      <c r="C49" s="5"/>
      <c r="D49" s="3">
        <v>58.52</v>
      </c>
      <c r="E49" s="3">
        <v>51.8</v>
      </c>
      <c r="F49" s="16"/>
      <c r="G49" s="3">
        <v>36.28</v>
      </c>
      <c r="H49" s="16"/>
      <c r="I49" s="3">
        <v>87.36</v>
      </c>
      <c r="J49" s="3">
        <v>56.4</v>
      </c>
      <c r="K49" s="3">
        <v>0.32</v>
      </c>
      <c r="L49" s="16"/>
      <c r="M49" s="3">
        <v>3.77</v>
      </c>
      <c r="N49" s="3">
        <v>11.97</v>
      </c>
      <c r="O49" s="3">
        <v>68.94511570202495</v>
      </c>
      <c r="P49" s="27">
        <v>383111.64</v>
      </c>
    </row>
    <row r="50" spans="2:16" x14ac:dyDescent="0.3">
      <c r="B50" s="18">
        <v>2022</v>
      </c>
      <c r="C50" s="5"/>
      <c r="D50" s="3">
        <v>44.154999999999994</v>
      </c>
      <c r="E50" s="3">
        <v>29.324999999999999</v>
      </c>
      <c r="F50" s="16"/>
      <c r="G50" s="3">
        <v>23.577000000000002</v>
      </c>
      <c r="H50" s="16"/>
      <c r="I50" s="3">
        <v>79.432999999999993</v>
      </c>
      <c r="J50" s="3">
        <v>39.674999999999997</v>
      </c>
      <c r="K50" s="3">
        <v>0.72833333333333339</v>
      </c>
      <c r="L50" s="16"/>
      <c r="M50" s="3">
        <v>4.09</v>
      </c>
      <c r="N50" s="3">
        <v>12.77</v>
      </c>
      <c r="O50" s="3">
        <v>54.625969835241939</v>
      </c>
      <c r="P50" s="27">
        <v>400054.45</v>
      </c>
    </row>
    <row r="51" spans="2:16" x14ac:dyDescent="0.3">
      <c r="B51" s="19">
        <v>2015</v>
      </c>
      <c r="C51" s="6"/>
      <c r="D51" s="10">
        <v>28.8</v>
      </c>
      <c r="E51" s="10">
        <v>24.186666666666667</v>
      </c>
      <c r="F51" s="16"/>
      <c r="G51" s="10">
        <v>19.440000000000001</v>
      </c>
      <c r="H51" s="16"/>
      <c r="I51" s="20">
        <v>66.069999999999993</v>
      </c>
      <c r="J51" s="10">
        <v>2</v>
      </c>
      <c r="K51" s="20">
        <v>8.3000000000000007</v>
      </c>
      <c r="L51" s="16"/>
      <c r="M51" s="10">
        <v>13.63</v>
      </c>
      <c r="N51" s="10">
        <v>29.12</v>
      </c>
      <c r="O51" s="10">
        <v>145.915225632762</v>
      </c>
      <c r="P51" s="28">
        <v>8028.8</v>
      </c>
    </row>
    <row r="52" spans="2:16" x14ac:dyDescent="0.3">
      <c r="B52" s="19">
        <v>2016</v>
      </c>
      <c r="C52" s="6"/>
      <c r="D52" s="10">
        <v>39.85</v>
      </c>
      <c r="E52" s="10">
        <v>20.69</v>
      </c>
      <c r="F52" s="16"/>
      <c r="G52" s="10">
        <v>32.68</v>
      </c>
      <c r="H52" s="16"/>
      <c r="I52" s="20">
        <v>66.069999999999993</v>
      </c>
      <c r="J52" s="10">
        <v>2.7</v>
      </c>
      <c r="K52" s="20">
        <v>7.4</v>
      </c>
      <c r="L52" s="16"/>
      <c r="M52" s="10">
        <v>11.05</v>
      </c>
      <c r="N52" s="10">
        <v>20.47</v>
      </c>
      <c r="O52" s="10">
        <v>-10.913213548582815</v>
      </c>
      <c r="P52" s="28">
        <v>8315.2900000000009</v>
      </c>
    </row>
    <row r="53" spans="2:16" x14ac:dyDescent="0.3">
      <c r="B53" s="19">
        <v>2017</v>
      </c>
      <c r="C53" s="6"/>
      <c r="D53" s="10">
        <v>41.57</v>
      </c>
      <c r="E53" s="10">
        <v>25.85</v>
      </c>
      <c r="F53" s="16"/>
      <c r="G53" s="10">
        <v>32.68</v>
      </c>
      <c r="H53" s="16"/>
      <c r="I53" s="20">
        <v>66.069999999999993</v>
      </c>
      <c r="J53" s="10">
        <v>3</v>
      </c>
      <c r="K53" s="20">
        <v>13</v>
      </c>
      <c r="L53" s="16"/>
      <c r="M53" s="10">
        <v>9.65</v>
      </c>
      <c r="N53" s="10">
        <v>18.39</v>
      </c>
      <c r="O53" s="10">
        <v>-7.1966037977712825</v>
      </c>
      <c r="P53" s="28">
        <v>9348.36</v>
      </c>
    </row>
    <row r="54" spans="2:16" x14ac:dyDescent="0.3">
      <c r="B54" s="19">
        <v>2018</v>
      </c>
      <c r="C54" s="6"/>
      <c r="D54" s="10">
        <v>44.7</v>
      </c>
      <c r="E54" s="10">
        <v>25.85</v>
      </c>
      <c r="F54" s="16"/>
      <c r="G54" s="10">
        <v>29.53</v>
      </c>
      <c r="H54" s="16"/>
      <c r="I54" s="20">
        <v>78.599999999999994</v>
      </c>
      <c r="J54" s="10">
        <v>3.6</v>
      </c>
      <c r="K54" s="20">
        <v>8.98</v>
      </c>
      <c r="L54" s="16"/>
      <c r="M54" s="10">
        <v>12.6</v>
      </c>
      <c r="N54" s="10">
        <v>24.25</v>
      </c>
      <c r="O54" s="10">
        <v>24.276595158194667</v>
      </c>
      <c r="P54" s="28">
        <v>11385.06</v>
      </c>
    </row>
    <row r="55" spans="2:16" x14ac:dyDescent="0.3">
      <c r="B55" s="19">
        <v>2019</v>
      </c>
      <c r="C55" s="6"/>
      <c r="D55" s="10">
        <v>42.13</v>
      </c>
      <c r="E55" s="10">
        <v>20.69</v>
      </c>
      <c r="F55" s="16"/>
      <c r="G55" s="10">
        <v>26.96</v>
      </c>
      <c r="H55" s="16"/>
      <c r="I55" s="20">
        <v>78.599999999999994</v>
      </c>
      <c r="J55" s="10">
        <v>4.5</v>
      </c>
      <c r="K55" s="20">
        <v>5.25</v>
      </c>
      <c r="L55" s="16"/>
      <c r="M55" s="10">
        <v>13.22</v>
      </c>
      <c r="N55" s="10">
        <v>25.16</v>
      </c>
      <c r="O55" s="10">
        <v>75.753319158758543</v>
      </c>
      <c r="P55" s="28">
        <v>13016</v>
      </c>
    </row>
    <row r="56" spans="2:16" x14ac:dyDescent="0.3">
      <c r="B56" s="19">
        <v>2020</v>
      </c>
      <c r="C56" s="6"/>
      <c r="D56" s="10">
        <v>43.85</v>
      </c>
      <c r="E56" s="10">
        <v>25.85</v>
      </c>
      <c r="F56" s="16"/>
      <c r="G56" s="10">
        <v>26.96</v>
      </c>
      <c r="H56" s="16"/>
      <c r="I56" s="20">
        <v>78.599999999999994</v>
      </c>
      <c r="J56" s="10">
        <v>4.4000000000000004</v>
      </c>
      <c r="K56" s="20">
        <v>2</v>
      </c>
      <c r="L56" s="16"/>
      <c r="M56" s="10">
        <v>11.89</v>
      </c>
      <c r="N56" s="10">
        <v>23.57</v>
      </c>
      <c r="O56" s="10">
        <v>49.954728909570072</v>
      </c>
      <c r="P56" s="28">
        <v>15755</v>
      </c>
    </row>
    <row r="57" spans="2:16" x14ac:dyDescent="0.3">
      <c r="B57" s="19">
        <v>2021</v>
      </c>
      <c r="C57" s="6"/>
      <c r="D57" s="10">
        <v>45.01</v>
      </c>
      <c r="E57" s="10">
        <v>26.19</v>
      </c>
      <c r="F57" s="16"/>
      <c r="G57" s="10">
        <v>30.11</v>
      </c>
      <c r="H57" s="16"/>
      <c r="I57" s="20">
        <v>78.599999999999994</v>
      </c>
      <c r="J57" s="10">
        <v>5.0999999999999996</v>
      </c>
      <c r="K57" s="20">
        <v>5</v>
      </c>
      <c r="L57" s="16"/>
      <c r="M57" s="10">
        <v>6.49</v>
      </c>
      <c r="N57" s="10">
        <v>13.74</v>
      </c>
      <c r="O57" s="10">
        <v>17.852622844161473</v>
      </c>
      <c r="P57" s="28">
        <v>20001</v>
      </c>
    </row>
    <row r="58" spans="2:16" x14ac:dyDescent="0.3">
      <c r="B58" s="19">
        <v>2022</v>
      </c>
      <c r="C58" s="6"/>
      <c r="D58" s="10">
        <f>AVERAGE(D52:D57)</f>
        <v>42.851666666666667</v>
      </c>
      <c r="E58" s="10">
        <v>24.186666666666667</v>
      </c>
      <c r="F58" s="16"/>
      <c r="G58" s="10">
        <v>28.337142857142858</v>
      </c>
      <c r="H58" s="16"/>
      <c r="I58" s="20">
        <v>71.837000000000003</v>
      </c>
      <c r="J58" s="10">
        <v>3.6142857142857148</v>
      </c>
      <c r="K58" s="20">
        <v>7.1328571428571435</v>
      </c>
      <c r="L58" s="16"/>
      <c r="M58" s="10">
        <v>11.54</v>
      </c>
      <c r="N58" s="10">
        <v>25.87</v>
      </c>
      <c r="O58" s="10">
        <v>42.220582051013231</v>
      </c>
      <c r="P58" s="28">
        <v>24944</v>
      </c>
    </row>
    <row r="59" spans="2:16" x14ac:dyDescent="0.3">
      <c r="B59" s="18">
        <v>2015</v>
      </c>
      <c r="C59" s="7"/>
      <c r="D59" s="3">
        <v>35.880000000000003</v>
      </c>
      <c r="E59" s="3">
        <v>16.37</v>
      </c>
      <c r="F59" s="16"/>
      <c r="G59" s="3">
        <v>22.58</v>
      </c>
      <c r="H59" s="16"/>
      <c r="I59" s="21">
        <v>68.569999999999993</v>
      </c>
      <c r="J59" s="3">
        <v>48.8</v>
      </c>
      <c r="K59" s="21">
        <v>5.5733333333333333</v>
      </c>
      <c r="L59" s="16"/>
      <c r="M59" s="3">
        <v>12.78</v>
      </c>
      <c r="N59" s="3">
        <v>33.17</v>
      </c>
      <c r="O59" s="3">
        <v>182.63727268865597</v>
      </c>
      <c r="P59" s="27">
        <v>21378.76</v>
      </c>
    </row>
    <row r="60" spans="2:16" x14ac:dyDescent="0.3">
      <c r="B60" s="18">
        <v>2016</v>
      </c>
      <c r="C60" s="7"/>
      <c r="D60" s="3">
        <v>37.71</v>
      </c>
      <c r="E60" s="3">
        <v>8.43</v>
      </c>
      <c r="F60" s="16"/>
      <c r="G60" s="3">
        <v>29.75</v>
      </c>
      <c r="H60" s="16"/>
      <c r="I60" s="21">
        <v>74.83</v>
      </c>
      <c r="J60" s="3">
        <v>165.4</v>
      </c>
      <c r="K60" s="21">
        <v>6.41</v>
      </c>
      <c r="L60" s="16"/>
      <c r="M60" s="3">
        <v>12.77</v>
      </c>
      <c r="N60" s="3">
        <v>37.950000000000003</v>
      </c>
      <c r="O60" s="3">
        <v>60.571907702116555</v>
      </c>
      <c r="P60" s="27">
        <v>18885.400000000001</v>
      </c>
    </row>
    <row r="61" spans="2:16" x14ac:dyDescent="0.3">
      <c r="B61" s="18">
        <v>2017</v>
      </c>
      <c r="C61" s="7"/>
      <c r="D61" s="3">
        <v>37.090000000000003</v>
      </c>
      <c r="E61" s="3">
        <v>8.43</v>
      </c>
      <c r="F61" s="16"/>
      <c r="G61" s="3">
        <v>32.89</v>
      </c>
      <c r="H61" s="16"/>
      <c r="I61" s="21">
        <v>69.84</v>
      </c>
      <c r="J61" s="3">
        <v>73</v>
      </c>
      <c r="K61" s="21">
        <v>0.91</v>
      </c>
      <c r="L61" s="16"/>
      <c r="M61" s="3">
        <v>8.0500000000000007</v>
      </c>
      <c r="N61" s="3">
        <v>31.27</v>
      </c>
      <c r="O61" s="3">
        <v>-25.500176336528899</v>
      </c>
      <c r="P61" s="27">
        <v>18464.919999999998</v>
      </c>
    </row>
    <row r="62" spans="2:16" x14ac:dyDescent="0.3">
      <c r="B62" s="18">
        <v>2018</v>
      </c>
      <c r="C62" s="7"/>
      <c r="D62" s="3">
        <v>37.43</v>
      </c>
      <c r="E62" s="3">
        <v>8.43</v>
      </c>
      <c r="F62" s="16"/>
      <c r="G62" s="3">
        <v>33.92</v>
      </c>
      <c r="H62" s="16"/>
      <c r="I62" s="21">
        <v>69.84</v>
      </c>
      <c r="J62" s="3">
        <v>75</v>
      </c>
      <c r="K62" s="21">
        <v>6</v>
      </c>
      <c r="L62" s="16"/>
      <c r="M62" s="3">
        <v>5.79</v>
      </c>
      <c r="N62" s="3">
        <v>31.49</v>
      </c>
      <c r="O62" s="3">
        <v>-53.734012820543199</v>
      </c>
      <c r="P62" s="27">
        <v>19058.28</v>
      </c>
    </row>
    <row r="63" spans="2:16" x14ac:dyDescent="0.3">
      <c r="B63" s="18">
        <v>2019</v>
      </c>
      <c r="C63" s="7"/>
      <c r="D63" s="3">
        <v>37.43</v>
      </c>
      <c r="E63" s="3">
        <v>8.43</v>
      </c>
      <c r="F63" s="16"/>
      <c r="G63" s="3">
        <v>33.92</v>
      </c>
      <c r="H63" s="16"/>
      <c r="I63" s="21">
        <v>69.84</v>
      </c>
      <c r="J63" s="3">
        <v>59.6</v>
      </c>
      <c r="K63" s="21">
        <v>6.88</v>
      </c>
      <c r="L63" s="16"/>
      <c r="M63" s="3">
        <v>13.51</v>
      </c>
      <c r="N63" s="3">
        <v>74.89</v>
      </c>
      <c r="O63" s="3">
        <v>-53.734012820543199</v>
      </c>
      <c r="P63" s="27">
        <v>22398.48</v>
      </c>
    </row>
    <row r="64" spans="2:16" x14ac:dyDescent="0.3">
      <c r="B64" s="18">
        <v>2020</v>
      </c>
      <c r="C64" s="7"/>
      <c r="D64" s="3">
        <v>39.74</v>
      </c>
      <c r="E64" s="3">
        <v>8.43</v>
      </c>
      <c r="F64" s="16"/>
      <c r="G64" s="3">
        <v>40.869999999999997</v>
      </c>
      <c r="H64" s="16"/>
      <c r="I64" s="21">
        <v>69.84</v>
      </c>
      <c r="J64" s="3">
        <v>82.9</v>
      </c>
      <c r="K64" s="21">
        <v>6.65</v>
      </c>
      <c r="L64" s="16"/>
      <c r="M64" s="3">
        <v>11.8</v>
      </c>
      <c r="N64" s="3">
        <v>57.03</v>
      </c>
      <c r="O64" s="3">
        <v>-244.24388035830927</v>
      </c>
      <c r="P64" s="27">
        <v>22496.27</v>
      </c>
    </row>
    <row r="65" spans="2:16" x14ac:dyDescent="0.3">
      <c r="B65" s="18">
        <v>2021</v>
      </c>
      <c r="C65" s="7"/>
      <c r="D65" s="3">
        <v>43.7</v>
      </c>
      <c r="E65" s="3">
        <v>25.64</v>
      </c>
      <c r="F65" s="16"/>
      <c r="G65" s="3">
        <v>39.299999999999997</v>
      </c>
      <c r="H65" s="16"/>
      <c r="I65" s="21">
        <v>66.069999999999993</v>
      </c>
      <c r="J65" s="3">
        <v>74.599999999999994</v>
      </c>
      <c r="K65" s="21">
        <v>6.59</v>
      </c>
      <c r="L65" s="16"/>
      <c r="M65" s="3">
        <v>8.14</v>
      </c>
      <c r="N65" s="3">
        <v>36.99</v>
      </c>
      <c r="O65" s="3">
        <v>-74.881736437539587</v>
      </c>
      <c r="P65" s="27">
        <v>22440.3</v>
      </c>
    </row>
    <row r="66" spans="2:16" x14ac:dyDescent="0.3">
      <c r="B66" s="18">
        <v>2022</v>
      </c>
      <c r="C66" s="7"/>
      <c r="D66" s="3">
        <v>35.047000000000004</v>
      </c>
      <c r="E66" s="3">
        <v>11.102222222222222</v>
      </c>
      <c r="F66" s="16"/>
      <c r="G66" s="3">
        <v>26.863000000000007</v>
      </c>
      <c r="H66" s="16"/>
      <c r="I66" s="21">
        <v>68.174999999999997</v>
      </c>
      <c r="J66" s="3">
        <v>69.010000000000005</v>
      </c>
      <c r="K66" s="21">
        <v>5.5733333333333333</v>
      </c>
      <c r="L66" s="16"/>
      <c r="M66" s="3">
        <v>10.15</v>
      </c>
      <c r="N66" s="3">
        <v>43.58</v>
      </c>
      <c r="O66" s="3">
        <v>126.08929773709636</v>
      </c>
      <c r="P66" s="27">
        <v>23897.64</v>
      </c>
    </row>
    <row r="67" spans="2:16" x14ac:dyDescent="0.3">
      <c r="B67" s="4">
        <v>2015</v>
      </c>
      <c r="C67" s="6"/>
      <c r="D67" s="10">
        <v>55.899799999999999</v>
      </c>
      <c r="E67" s="10">
        <v>46.058599999999998</v>
      </c>
      <c r="F67" s="16"/>
      <c r="G67" s="10">
        <v>36.668700000000001</v>
      </c>
      <c r="H67" s="16"/>
      <c r="I67" s="10">
        <v>84.858500000000006</v>
      </c>
      <c r="J67" s="10">
        <v>84.858500000000006</v>
      </c>
      <c r="K67" s="10">
        <v>13.9</v>
      </c>
      <c r="L67" s="16"/>
      <c r="M67" s="10">
        <v>2.6255000000000002</v>
      </c>
      <c r="N67" s="10">
        <v>12.121421975992615</v>
      </c>
      <c r="O67" s="10">
        <v>48.112089092111468</v>
      </c>
      <c r="P67" s="28">
        <v>99464.81</v>
      </c>
    </row>
    <row r="68" spans="2:16" x14ac:dyDescent="0.3">
      <c r="B68" s="4">
        <v>2016</v>
      </c>
      <c r="C68" s="6"/>
      <c r="D68" s="10">
        <v>55.899799999999999</v>
      </c>
      <c r="E68" s="10">
        <v>46.058599999999998</v>
      </c>
      <c r="F68" s="16"/>
      <c r="G68" s="10">
        <v>36.668700000000001</v>
      </c>
      <c r="H68" s="16"/>
      <c r="I68" s="10">
        <v>84.858500000000006</v>
      </c>
      <c r="J68" s="10">
        <v>84.858500000000006</v>
      </c>
      <c r="K68" s="10">
        <v>17.670000000000002</v>
      </c>
      <c r="L68" s="16"/>
      <c r="M68" s="10">
        <v>2.1789000000000001</v>
      </c>
      <c r="N68" s="10">
        <v>9.9493150684931493</v>
      </c>
      <c r="O68" s="10">
        <v>48.112089092111468</v>
      </c>
      <c r="P68" s="28">
        <v>101953.22</v>
      </c>
    </row>
    <row r="69" spans="2:16" x14ac:dyDescent="0.3">
      <c r="B69" s="4">
        <v>2017</v>
      </c>
      <c r="C69" s="6"/>
      <c r="D69" s="10">
        <v>54.773200000000003</v>
      </c>
      <c r="E69" s="10">
        <v>42.675899999999999</v>
      </c>
      <c r="F69" s="16"/>
      <c r="G69" s="10">
        <v>36.668700000000001</v>
      </c>
      <c r="H69" s="16"/>
      <c r="I69" s="10">
        <v>84.858500000000006</v>
      </c>
      <c r="J69" s="10">
        <v>84.858500000000006</v>
      </c>
      <c r="K69" s="10">
        <v>17.440000000000001</v>
      </c>
      <c r="L69" s="16"/>
      <c r="M69" s="10">
        <v>2.9780000000000002</v>
      </c>
      <c r="N69" s="10">
        <v>12.902946273830199</v>
      </c>
      <c r="O69" s="10">
        <v>32.183045423028098</v>
      </c>
      <c r="P69" s="28">
        <v>115206.06</v>
      </c>
    </row>
    <row r="70" spans="2:16" x14ac:dyDescent="0.3">
      <c r="B70" s="4">
        <v>2018</v>
      </c>
      <c r="C70" s="6"/>
      <c r="D70" s="10">
        <v>60.496899999999997</v>
      </c>
      <c r="E70" s="10">
        <v>46.058599999999998</v>
      </c>
      <c r="F70" s="16"/>
      <c r="G70" s="10">
        <v>36.668700000000001</v>
      </c>
      <c r="H70" s="16"/>
      <c r="I70" s="10">
        <v>98.615300000000005</v>
      </c>
      <c r="J70" s="10">
        <v>98.615300000000005</v>
      </c>
      <c r="K70" s="10">
        <v>10.78</v>
      </c>
      <c r="L70" s="16"/>
      <c r="M70" s="10">
        <v>3.2403</v>
      </c>
      <c r="N70" s="10">
        <v>14.125108979947701</v>
      </c>
      <c r="O70" s="10">
        <v>48.112089092111468</v>
      </c>
      <c r="P70" s="28">
        <v>123817.87</v>
      </c>
    </row>
    <row r="71" spans="2:16" x14ac:dyDescent="0.3">
      <c r="B71" s="4">
        <v>2019</v>
      </c>
      <c r="C71" s="6"/>
      <c r="D71" s="10">
        <v>59.2395</v>
      </c>
      <c r="E71" s="10">
        <v>41.256399999999999</v>
      </c>
      <c r="F71" s="16"/>
      <c r="G71" s="10">
        <v>37.6965</v>
      </c>
      <c r="H71" s="16"/>
      <c r="I71" s="10">
        <v>98.615300000000005</v>
      </c>
      <c r="J71" s="10">
        <v>98.615300000000005</v>
      </c>
      <c r="K71" s="10">
        <v>12.81</v>
      </c>
      <c r="L71" s="16"/>
      <c r="M71" s="10">
        <v>3.4104999999999999</v>
      </c>
      <c r="N71" s="10">
        <v>15.184772929652716</v>
      </c>
      <c r="O71" s="10">
        <v>31.064100672747411</v>
      </c>
      <c r="P71" s="28">
        <v>140128.39000000001</v>
      </c>
    </row>
    <row r="72" spans="2:16" x14ac:dyDescent="0.3">
      <c r="B72" s="4">
        <v>2020</v>
      </c>
      <c r="C72" s="6"/>
      <c r="D72" s="10">
        <v>60.838900000000002</v>
      </c>
      <c r="E72" s="10">
        <v>44.397500000000001</v>
      </c>
      <c r="F72" s="16"/>
      <c r="G72" s="10">
        <v>41.868200000000002</v>
      </c>
      <c r="H72" s="16"/>
      <c r="I72" s="10">
        <v>96.116799999999998</v>
      </c>
      <c r="J72" s="10">
        <v>96.116799999999998</v>
      </c>
      <c r="K72" s="22">
        <v>10.29</v>
      </c>
      <c r="L72" s="16"/>
      <c r="M72" s="10">
        <v>3.2563</v>
      </c>
      <c r="N72" s="10">
        <v>14.794638800545201</v>
      </c>
      <c r="O72" s="10">
        <v>84.776978686289382</v>
      </c>
      <c r="P72" s="28">
        <v>159161.35</v>
      </c>
    </row>
    <row r="73" spans="2:16" x14ac:dyDescent="0.3">
      <c r="B73" s="4">
        <v>2021</v>
      </c>
      <c r="C73" s="6"/>
      <c r="D73" s="10">
        <v>61.603499999999997</v>
      </c>
      <c r="E73" s="10">
        <v>46.692799999999998</v>
      </c>
      <c r="F73" s="16"/>
      <c r="G73" s="10">
        <v>41.868200000000002</v>
      </c>
      <c r="H73" s="16"/>
      <c r="I73" s="10">
        <v>96.116799999999998</v>
      </c>
      <c r="J73" s="10">
        <v>96.116799999999998</v>
      </c>
      <c r="K73" s="10">
        <v>18.260000000000002</v>
      </c>
      <c r="L73" s="16"/>
      <c r="M73" s="10">
        <v>3.74</v>
      </c>
      <c r="N73" s="10">
        <v>16.246741963509994</v>
      </c>
      <c r="O73" s="10">
        <v>107.51989723951372</v>
      </c>
      <c r="P73" s="28">
        <v>167361.98000000001</v>
      </c>
    </row>
    <row r="74" spans="2:16" x14ac:dyDescent="0.3">
      <c r="B74" s="4">
        <v>2022</v>
      </c>
      <c r="C74" s="6"/>
      <c r="D74" s="10">
        <f t="shared" ref="D74:K74" si="4">AVERAGE(D67:D73)</f>
        <v>58.393085714285725</v>
      </c>
      <c r="E74" s="10">
        <f t="shared" si="4"/>
        <v>44.742628571428561</v>
      </c>
      <c r="F74" s="16"/>
      <c r="G74" s="10">
        <f t="shared" si="4"/>
        <v>38.301100000000005</v>
      </c>
      <c r="H74" s="16"/>
      <c r="I74" s="10">
        <f t="shared" si="4"/>
        <v>92.005671428571432</v>
      </c>
      <c r="J74" s="10">
        <f>AVERAGE(J67:J73)</f>
        <v>92.005671428571432</v>
      </c>
      <c r="K74" s="10">
        <f t="shared" si="4"/>
        <v>14.450000000000003</v>
      </c>
      <c r="L74" s="16"/>
      <c r="M74" s="10">
        <f>AVERAGE(M67:M73)</f>
        <v>3.0613571428571427</v>
      </c>
      <c r="N74" s="10">
        <f>AVERAGE(N67:N73)</f>
        <v>13.617849427424508</v>
      </c>
      <c r="O74" s="10">
        <v>56.445430669701835</v>
      </c>
      <c r="P74" s="28">
        <v>170885.35</v>
      </c>
    </row>
    <row r="75" spans="2:16" x14ac:dyDescent="0.3">
      <c r="B75" s="2">
        <v>2015</v>
      </c>
      <c r="C75" s="7"/>
      <c r="D75" s="3">
        <v>37.3001</v>
      </c>
      <c r="E75" s="3">
        <v>16.4603</v>
      </c>
      <c r="F75" s="16"/>
      <c r="G75" s="3">
        <v>19.195900000000002</v>
      </c>
      <c r="H75" s="16"/>
      <c r="I75" s="21">
        <v>76.098699999999994</v>
      </c>
      <c r="J75" s="3">
        <v>235</v>
      </c>
      <c r="K75" s="3">
        <v>1.18</v>
      </c>
      <c r="L75" s="16"/>
      <c r="M75" s="3">
        <v>9.4620999999999995</v>
      </c>
      <c r="N75" s="3">
        <v>19.920210526315799</v>
      </c>
      <c r="O75" s="3">
        <v>247.37817429973461</v>
      </c>
      <c r="P75" s="27">
        <v>6086.33</v>
      </c>
    </row>
    <row r="76" spans="2:16" x14ac:dyDescent="0.3">
      <c r="B76" s="2">
        <v>2016</v>
      </c>
      <c r="C76" s="7"/>
      <c r="D76" s="3">
        <v>40.7605</v>
      </c>
      <c r="E76" s="3">
        <v>23.316199999999998</v>
      </c>
      <c r="F76" s="16"/>
      <c r="G76" s="3">
        <v>20.223700000000001</v>
      </c>
      <c r="H76" s="16"/>
      <c r="I76" s="21">
        <v>78.597200000000001</v>
      </c>
      <c r="J76" s="3">
        <v>312.2</v>
      </c>
      <c r="K76" s="3">
        <v>11</v>
      </c>
      <c r="L76" s="16"/>
      <c r="M76" s="3">
        <v>15.5288</v>
      </c>
      <c r="N76" s="3">
        <v>32.830443974630001</v>
      </c>
      <c r="O76" s="3">
        <v>146.99715935097836</v>
      </c>
      <c r="P76" s="27">
        <v>6810.46</v>
      </c>
    </row>
    <row r="77" spans="2:16" x14ac:dyDescent="0.3">
      <c r="B77" s="2">
        <v>2017</v>
      </c>
      <c r="C77" s="7"/>
      <c r="D77" s="3">
        <v>38.587699999999998</v>
      </c>
      <c r="E77" s="3">
        <v>16.7925</v>
      </c>
      <c r="F77" s="16"/>
      <c r="G77" s="3">
        <v>20.223700000000001</v>
      </c>
      <c r="H77" s="16"/>
      <c r="I77" s="21">
        <v>78.597200000000001</v>
      </c>
      <c r="J77" s="3">
        <v>268.8</v>
      </c>
      <c r="K77" s="3">
        <v>9</v>
      </c>
      <c r="L77" s="16"/>
      <c r="M77" s="3">
        <v>17.289000000000001</v>
      </c>
      <c r="N77" s="3">
        <v>36.559526326919013</v>
      </c>
      <c r="O77" s="3">
        <v>223.55947733706955</v>
      </c>
      <c r="P77" s="27">
        <v>7362.59</v>
      </c>
    </row>
    <row r="78" spans="2:16" x14ac:dyDescent="0.3">
      <c r="B78" s="2">
        <v>2018</v>
      </c>
      <c r="C78" s="7"/>
      <c r="D78" s="3">
        <v>39.161099999999998</v>
      </c>
      <c r="E78" s="3">
        <v>18.513999999999999</v>
      </c>
      <c r="F78" s="16"/>
      <c r="G78" s="3">
        <v>20.223700000000001</v>
      </c>
      <c r="H78" s="16"/>
      <c r="I78" s="21">
        <v>78.597200000000001</v>
      </c>
      <c r="J78" s="3">
        <v>273.39999999999998</v>
      </c>
      <c r="K78" s="3">
        <v>8.3000000000000007</v>
      </c>
      <c r="L78" s="16"/>
      <c r="M78" s="3">
        <v>20.800799999999999</v>
      </c>
      <c r="N78" s="3">
        <v>45.2979094076655</v>
      </c>
      <c r="O78" s="3">
        <v>203.35590721381803</v>
      </c>
      <c r="P78" s="27">
        <v>8088.08</v>
      </c>
    </row>
    <row r="79" spans="2:16" x14ac:dyDescent="0.3">
      <c r="B79" s="2">
        <v>2019</v>
      </c>
      <c r="C79" s="7"/>
      <c r="D79" s="3">
        <v>41.524999999999999</v>
      </c>
      <c r="E79" s="3">
        <v>25.611599999999999</v>
      </c>
      <c r="F79" s="16"/>
      <c r="G79" s="3">
        <v>20.223700000000001</v>
      </c>
      <c r="H79" s="16"/>
      <c r="I79" s="21">
        <v>78.597200000000001</v>
      </c>
      <c r="J79" s="3">
        <v>380.7</v>
      </c>
      <c r="K79" s="3">
        <v>7.2</v>
      </c>
      <c r="L79" s="16"/>
      <c r="M79" s="3">
        <v>25.797000000000001</v>
      </c>
      <c r="N79" s="3">
        <v>70.387448840382007</v>
      </c>
      <c r="O79" s="3">
        <v>120.05828345152347</v>
      </c>
      <c r="P79" s="27">
        <v>7172.94</v>
      </c>
    </row>
    <row r="80" spans="2:16" x14ac:dyDescent="0.3">
      <c r="B80" s="2">
        <v>2020</v>
      </c>
      <c r="C80" s="7"/>
      <c r="D80" s="3">
        <v>40.740400000000001</v>
      </c>
      <c r="E80" s="3">
        <v>19.087900000000001</v>
      </c>
      <c r="F80" s="16"/>
      <c r="G80" s="3">
        <v>24.395399999999999</v>
      </c>
      <c r="H80" s="16"/>
      <c r="I80" s="21">
        <v>78.597200000000001</v>
      </c>
      <c r="J80" s="3">
        <v>464.2</v>
      </c>
      <c r="K80" s="3">
        <v>8</v>
      </c>
      <c r="L80" s="16"/>
      <c r="M80" s="3">
        <v>27.631900000000002</v>
      </c>
      <c r="N80" s="3">
        <v>105.747799464217</v>
      </c>
      <c r="O80" s="3">
        <v>126.72964280901051</v>
      </c>
      <c r="P80" s="27">
        <v>7879.81</v>
      </c>
    </row>
    <row r="81" spans="2:16" x14ac:dyDescent="0.3">
      <c r="B81" s="2">
        <v>2021</v>
      </c>
      <c r="C81" s="7"/>
      <c r="D81" s="3">
        <v>40.740400000000001</v>
      </c>
      <c r="E81" s="3">
        <v>19.087900000000001</v>
      </c>
      <c r="F81" s="16"/>
      <c r="G81" s="3">
        <v>24.395399999999999</v>
      </c>
      <c r="H81" s="16"/>
      <c r="I81" s="21">
        <v>78.597200000000001</v>
      </c>
      <c r="J81" s="3">
        <v>534</v>
      </c>
      <c r="K81" s="3">
        <v>11</v>
      </c>
      <c r="L81" s="16"/>
      <c r="M81" s="3">
        <v>26.6282</v>
      </c>
      <c r="N81" s="3">
        <v>104.547310561445</v>
      </c>
      <c r="O81" s="3">
        <v>126.72964280901051</v>
      </c>
      <c r="P81" s="27">
        <v>8208.2900000000009</v>
      </c>
    </row>
    <row r="82" spans="2:16" x14ac:dyDescent="0.3">
      <c r="B82" s="2">
        <v>2022</v>
      </c>
      <c r="C82" s="7"/>
      <c r="D82" s="3">
        <f>AVERAGE(D75:D81)</f>
        <v>39.830742857142859</v>
      </c>
      <c r="E82" s="3">
        <f>AVERAGE(E75:E80)</f>
        <v>19.963750000000001</v>
      </c>
      <c r="F82" s="16"/>
      <c r="G82" s="3">
        <f>AVERAGE(G75:G80)</f>
        <v>20.747683333333331</v>
      </c>
      <c r="H82" s="16"/>
      <c r="I82" s="3">
        <f>AVERAGE(I75:I80)</f>
        <v>78.180783333333324</v>
      </c>
      <c r="J82" s="3">
        <f>AVERAGE($I$27:$I$32)</f>
        <v>69.456133333333341</v>
      </c>
      <c r="K82" s="3">
        <v>16</v>
      </c>
      <c r="L82" s="16"/>
      <c r="M82" s="3">
        <f>AVERAGE(M75:M81)</f>
        <v>20.448257142857141</v>
      </c>
      <c r="N82" s="3">
        <f>AVERAGE(N75:N81)</f>
        <v>59.327235585939192</v>
      </c>
      <c r="O82" s="3">
        <v>178.02193033285579</v>
      </c>
      <c r="P82" s="27">
        <v>8953.1299999999992</v>
      </c>
    </row>
    <row r="83" spans="2:16" x14ac:dyDescent="0.3">
      <c r="B83" s="4">
        <v>2015</v>
      </c>
      <c r="C83" s="6"/>
      <c r="D83" s="10">
        <v>28.38</v>
      </c>
      <c r="E83" s="10">
        <v>1.57</v>
      </c>
      <c r="F83" s="16"/>
      <c r="G83" s="10">
        <v>17.350000000000001</v>
      </c>
      <c r="H83" s="16"/>
      <c r="I83" s="20">
        <v>66.069999999999993</v>
      </c>
      <c r="J83" s="10">
        <v>373.9</v>
      </c>
      <c r="K83" s="20">
        <f>AVERAGE(K84:K85)</f>
        <v>10.25</v>
      </c>
      <c r="L83" s="16"/>
      <c r="M83" s="10">
        <v>8.1548999999999996</v>
      </c>
      <c r="N83" s="10">
        <v>23.699215344376633</v>
      </c>
      <c r="O83" s="10">
        <v>500.69713097597156</v>
      </c>
      <c r="P83" s="28">
        <v>14078.6</v>
      </c>
    </row>
    <row r="84" spans="2:16" x14ac:dyDescent="0.3">
      <c r="B84" s="4">
        <v>2016</v>
      </c>
      <c r="C84" s="6"/>
      <c r="D84" s="10">
        <v>34.11</v>
      </c>
      <c r="E84" s="10">
        <v>17.760000000000002</v>
      </c>
      <c r="F84" s="16"/>
      <c r="G84" s="10">
        <v>18.38</v>
      </c>
      <c r="H84" s="16"/>
      <c r="I84" s="20">
        <v>66.069999999999993</v>
      </c>
      <c r="J84" s="10">
        <v>408.1</v>
      </c>
      <c r="K84" s="20">
        <f>AVERAGE(K85:K86)</f>
        <v>9.8999999999999986</v>
      </c>
      <c r="L84" s="16"/>
      <c r="M84" s="10">
        <v>8.1969999999999992</v>
      </c>
      <c r="N84" s="10">
        <v>24.038123167155401</v>
      </c>
      <c r="O84" s="10">
        <v>245.54171772173228</v>
      </c>
      <c r="P84" s="28">
        <v>14411.71</v>
      </c>
    </row>
    <row r="85" spans="2:16" x14ac:dyDescent="0.3">
      <c r="B85" s="4">
        <v>2017</v>
      </c>
      <c r="C85" s="6"/>
      <c r="D85" s="10">
        <v>42.99</v>
      </c>
      <c r="E85" s="10">
        <v>29.9</v>
      </c>
      <c r="F85" s="16"/>
      <c r="G85" s="10">
        <v>26.63</v>
      </c>
      <c r="H85" s="16"/>
      <c r="I85" s="20">
        <v>72.34</v>
      </c>
      <c r="J85" s="10">
        <v>477.8</v>
      </c>
      <c r="K85" s="20">
        <f>AVERAGE(K86:K87)</f>
        <v>10.6</v>
      </c>
      <c r="L85" s="16"/>
      <c r="M85" s="10">
        <v>9.5181000000000004</v>
      </c>
      <c r="N85" s="10">
        <v>25.483534136546186</v>
      </c>
      <c r="O85" s="10">
        <v>31.66652767161003</v>
      </c>
      <c r="P85" s="28">
        <v>15196.65</v>
      </c>
    </row>
    <row r="86" spans="2:16" x14ac:dyDescent="0.3">
      <c r="B86" s="4">
        <v>2018</v>
      </c>
      <c r="C86" s="6"/>
      <c r="D86" s="10">
        <v>51.51</v>
      </c>
      <c r="E86" s="10">
        <v>51.89</v>
      </c>
      <c r="F86" s="16"/>
      <c r="G86" s="10">
        <v>30.23</v>
      </c>
      <c r="H86" s="16"/>
      <c r="I86" s="20">
        <v>72.34</v>
      </c>
      <c r="J86" s="10">
        <v>571.79999999999995</v>
      </c>
      <c r="K86" s="20">
        <v>9.1999999999999993</v>
      </c>
      <c r="L86" s="16"/>
      <c r="M86" s="10">
        <v>8.0774000000000008</v>
      </c>
      <c r="N86" s="10">
        <v>19.199904920370798</v>
      </c>
      <c r="O86" s="10">
        <v>-27.75953473037934</v>
      </c>
      <c r="P86" s="28">
        <v>14505.22</v>
      </c>
    </row>
    <row r="87" spans="2:16" x14ac:dyDescent="0.3">
      <c r="B87" s="4">
        <v>2019</v>
      </c>
      <c r="C87" s="6"/>
      <c r="D87" s="10">
        <v>59.32</v>
      </c>
      <c r="E87" s="10">
        <v>50.17</v>
      </c>
      <c r="F87" s="16"/>
      <c r="G87" s="10">
        <v>42.84</v>
      </c>
      <c r="H87" s="16"/>
      <c r="I87" s="20">
        <v>84.86</v>
      </c>
      <c r="J87" s="10">
        <v>910</v>
      </c>
      <c r="K87" s="20">
        <v>12</v>
      </c>
      <c r="L87" s="16"/>
      <c r="M87" s="10">
        <v>7.6806999999999999</v>
      </c>
      <c r="N87" s="10">
        <v>17.628414046362199</v>
      </c>
      <c r="O87" s="10">
        <v>155.89808461149914</v>
      </c>
      <c r="P87" s="28">
        <v>13807.33</v>
      </c>
    </row>
    <row r="88" spans="2:16" x14ac:dyDescent="0.3">
      <c r="B88" s="4">
        <v>2020</v>
      </c>
      <c r="C88" s="6"/>
      <c r="D88" s="10">
        <v>59.63</v>
      </c>
      <c r="E88" s="10">
        <v>46.78</v>
      </c>
      <c r="F88" s="16"/>
      <c r="G88" s="10">
        <v>47.16</v>
      </c>
      <c r="H88" s="16"/>
      <c r="I88" s="20">
        <v>84.86</v>
      </c>
      <c r="J88" s="10">
        <v>900</v>
      </c>
      <c r="K88" s="20">
        <v>4</v>
      </c>
      <c r="L88" s="16"/>
      <c r="M88" s="10">
        <v>6.3388999999999998</v>
      </c>
      <c r="N88" s="10">
        <v>15.103407195615899</v>
      </c>
      <c r="O88" s="10">
        <v>166.26831415553318</v>
      </c>
      <c r="P88" s="28">
        <v>12992.26</v>
      </c>
    </row>
    <row r="89" spans="2:16" x14ac:dyDescent="0.3">
      <c r="B89" s="4">
        <v>2021</v>
      </c>
      <c r="C89" s="6"/>
      <c r="D89" s="10">
        <v>62.05</v>
      </c>
      <c r="E89" s="10">
        <v>52.22</v>
      </c>
      <c r="F89" s="16"/>
      <c r="G89" s="10">
        <v>48.97</v>
      </c>
      <c r="H89" s="16"/>
      <c r="I89" s="20">
        <v>84.86</v>
      </c>
      <c r="J89" s="10">
        <v>730</v>
      </c>
      <c r="K89" s="20">
        <v>3.5</v>
      </c>
      <c r="L89" s="16"/>
      <c r="M89" s="10">
        <v>7.2556000000000003</v>
      </c>
      <c r="N89" s="10">
        <v>17.870935960591101</v>
      </c>
      <c r="O89" s="10">
        <v>278.60290036943536</v>
      </c>
      <c r="P89" s="28">
        <v>21651.87</v>
      </c>
    </row>
    <row r="90" spans="2:16" x14ac:dyDescent="0.3">
      <c r="B90" s="4">
        <v>2022</v>
      </c>
      <c r="C90" s="6"/>
      <c r="D90" s="10">
        <v>71.290000000000006</v>
      </c>
      <c r="E90" s="10">
        <v>61.16</v>
      </c>
      <c r="F90" s="16"/>
      <c r="G90" s="10">
        <v>62.79</v>
      </c>
      <c r="H90" s="16"/>
      <c r="I90" s="20">
        <v>89.86</v>
      </c>
      <c r="J90" s="10">
        <v>498.9</v>
      </c>
      <c r="K90" s="20">
        <v>11</v>
      </c>
      <c r="L90" s="16"/>
      <c r="M90" s="10">
        <v>5.5513000000000003</v>
      </c>
      <c r="N90" s="10">
        <v>13.7989062888392</v>
      </c>
      <c r="O90" s="10">
        <v>780.57652710771038</v>
      </c>
      <c r="P90" s="28">
        <v>40137.269999999997</v>
      </c>
    </row>
    <row r="91" spans="2:16" x14ac:dyDescent="0.3">
      <c r="B91" s="2">
        <v>2015</v>
      </c>
      <c r="C91" s="2"/>
      <c r="D91" s="23">
        <v>62.16</v>
      </c>
      <c r="E91" s="23">
        <v>55.09</v>
      </c>
      <c r="F91" s="16"/>
      <c r="G91" s="23">
        <v>41.41</v>
      </c>
      <c r="H91" s="16"/>
      <c r="I91" s="23">
        <v>89.86</v>
      </c>
      <c r="J91" s="23">
        <v>2140.6</v>
      </c>
      <c r="K91" s="23">
        <v>16</v>
      </c>
      <c r="L91" s="16"/>
      <c r="M91" s="23">
        <v>22.25</v>
      </c>
      <c r="N91" s="23">
        <v>32.06</v>
      </c>
      <c r="O91" s="23">
        <v>181.90366196934073</v>
      </c>
      <c r="P91" s="27">
        <v>50031.28</v>
      </c>
    </row>
    <row r="92" spans="2:16" x14ac:dyDescent="0.3">
      <c r="B92" s="2">
        <v>2016</v>
      </c>
      <c r="C92" s="2"/>
      <c r="D92" s="23">
        <v>62.68</v>
      </c>
      <c r="E92" s="23">
        <v>55.09</v>
      </c>
      <c r="F92" s="16"/>
      <c r="G92" s="23">
        <v>42.99</v>
      </c>
      <c r="H92" s="16"/>
      <c r="I92" s="23">
        <v>89.86</v>
      </c>
      <c r="J92" s="23">
        <v>2475</v>
      </c>
      <c r="K92" s="23">
        <v>19</v>
      </c>
      <c r="L92" s="16"/>
      <c r="M92" s="23">
        <v>19.13</v>
      </c>
      <c r="N92" s="23">
        <v>25.22</v>
      </c>
      <c r="O92" s="23">
        <v>212.31630503269758</v>
      </c>
      <c r="P92" s="27">
        <v>54215.95</v>
      </c>
    </row>
    <row r="93" spans="2:16" x14ac:dyDescent="0.3">
      <c r="B93" s="2">
        <v>2017</v>
      </c>
      <c r="C93" s="2"/>
      <c r="D93" s="23">
        <v>63.83</v>
      </c>
      <c r="E93" s="23">
        <v>58.53</v>
      </c>
      <c r="F93" s="16"/>
      <c r="G93" s="23">
        <v>42.99</v>
      </c>
      <c r="H93" s="16"/>
      <c r="I93" s="23">
        <v>89.86</v>
      </c>
      <c r="J93" s="23">
        <v>2759.6</v>
      </c>
      <c r="K93" s="23">
        <v>18.600000000000001</v>
      </c>
      <c r="L93" s="16"/>
      <c r="M93" s="23">
        <v>19.12</v>
      </c>
      <c r="N93" s="23">
        <v>23.12</v>
      </c>
      <c r="O93" s="23">
        <v>250.26044486657193</v>
      </c>
      <c r="P93" s="27">
        <v>62381.31</v>
      </c>
    </row>
    <row r="94" spans="2:16" x14ac:dyDescent="0.3">
      <c r="B94" s="2">
        <v>2018</v>
      </c>
      <c r="C94" s="2"/>
      <c r="D94" s="23">
        <v>63.83</v>
      </c>
      <c r="E94" s="23">
        <v>58.53</v>
      </c>
      <c r="F94" s="16"/>
      <c r="G94" s="23">
        <v>42.99</v>
      </c>
      <c r="H94" s="16"/>
      <c r="I94" s="23">
        <v>89.86</v>
      </c>
      <c r="J94" s="23">
        <v>2909.8</v>
      </c>
      <c r="K94" s="23">
        <v>19</v>
      </c>
      <c r="L94" s="16"/>
      <c r="M94" s="23">
        <v>18.75</v>
      </c>
      <c r="N94" s="23">
        <v>22.81</v>
      </c>
      <c r="O94" s="23">
        <v>250.26044486657193</v>
      </c>
      <c r="P94" s="27">
        <v>69797.919999999998</v>
      </c>
    </row>
    <row r="95" spans="2:16" x14ac:dyDescent="0.3">
      <c r="B95" s="2">
        <v>2019</v>
      </c>
      <c r="C95" s="2"/>
      <c r="D95" s="23">
        <v>63.83</v>
      </c>
      <c r="E95" s="23">
        <v>58.53</v>
      </c>
      <c r="F95" s="16"/>
      <c r="G95" s="23">
        <v>42.99</v>
      </c>
      <c r="H95" s="16"/>
      <c r="I95" s="23">
        <v>89.86</v>
      </c>
      <c r="J95" s="23">
        <v>3070</v>
      </c>
      <c r="K95" s="23">
        <v>19</v>
      </c>
      <c r="L95" s="16"/>
      <c r="M95" s="23">
        <v>18.510000000000002</v>
      </c>
      <c r="N95" s="23">
        <v>22.61</v>
      </c>
      <c r="O95" s="23">
        <v>250.26044486657193</v>
      </c>
      <c r="P95" s="27">
        <v>75235.360000000001</v>
      </c>
    </row>
    <row r="96" spans="2:16" x14ac:dyDescent="0.3">
      <c r="B96" s="2">
        <v>2020</v>
      </c>
      <c r="C96" s="2"/>
      <c r="D96" s="23">
        <v>62.02</v>
      </c>
      <c r="E96" s="23">
        <v>58.53</v>
      </c>
      <c r="F96" s="16"/>
      <c r="G96" s="23">
        <v>37.549999999999997</v>
      </c>
      <c r="H96" s="16"/>
      <c r="I96" s="23">
        <v>89.86</v>
      </c>
      <c r="J96" s="23">
        <v>3260</v>
      </c>
      <c r="K96" s="23">
        <v>18</v>
      </c>
      <c r="L96" s="16"/>
      <c r="M96" s="23">
        <v>20.52</v>
      </c>
      <c r="N96" s="23">
        <v>22.66</v>
      </c>
      <c r="O96" s="23">
        <v>126.83495988893844</v>
      </c>
      <c r="P96" s="27">
        <v>71580.36</v>
      </c>
    </row>
    <row r="97" spans="2:16" x14ac:dyDescent="0.3">
      <c r="B97" s="2">
        <v>2021</v>
      </c>
      <c r="C97" s="2"/>
      <c r="D97" s="23">
        <v>63.57</v>
      </c>
      <c r="E97" s="23">
        <v>61.91</v>
      </c>
      <c r="F97" s="16"/>
      <c r="G97" s="23">
        <v>38.82</v>
      </c>
      <c r="H97" s="16"/>
      <c r="I97" s="23">
        <v>89.86</v>
      </c>
      <c r="J97" s="23">
        <f>354.27*10</f>
        <v>3542.7</v>
      </c>
      <c r="K97" s="23">
        <v>16</v>
      </c>
      <c r="L97" s="16"/>
      <c r="M97" s="23">
        <v>17.41</v>
      </c>
      <c r="N97" s="23">
        <v>18.399999999999999</v>
      </c>
      <c r="O97" s="23">
        <v>178.83708883065464</v>
      </c>
      <c r="P97" s="27">
        <v>75092.5</v>
      </c>
    </row>
    <row r="98" spans="2:16" x14ac:dyDescent="0.3">
      <c r="B98" s="2">
        <v>2022</v>
      </c>
      <c r="C98" s="2"/>
      <c r="D98" s="23">
        <f>AVERAGE(D91:D97)</f>
        <v>63.131428571428565</v>
      </c>
      <c r="E98" s="23">
        <v>61.91</v>
      </c>
      <c r="F98" s="16"/>
      <c r="G98" s="23">
        <v>38.82</v>
      </c>
      <c r="H98" s="16"/>
      <c r="I98" s="23">
        <v>89.86</v>
      </c>
      <c r="J98" s="23">
        <f>365.5*10</f>
        <v>3655</v>
      </c>
      <c r="K98" s="23">
        <v>22</v>
      </c>
      <c r="L98" s="16"/>
      <c r="M98" s="23">
        <v>20.18</v>
      </c>
      <c r="N98" s="23">
        <v>23.5</v>
      </c>
      <c r="O98" s="23">
        <v>178.83708883065464</v>
      </c>
      <c r="P98" s="27">
        <v>82261.740000000005</v>
      </c>
    </row>
    <row r="99" spans="2:16" x14ac:dyDescent="0.3">
      <c r="B99" s="8">
        <v>2015</v>
      </c>
      <c r="C99" s="8"/>
      <c r="D99" s="24">
        <v>31.41</v>
      </c>
      <c r="E99" s="24">
        <v>1.75</v>
      </c>
      <c r="F99" s="16"/>
      <c r="G99" s="24">
        <v>7.41</v>
      </c>
      <c r="H99" s="16"/>
      <c r="I99" s="24">
        <v>84.86</v>
      </c>
      <c r="J99" s="24">
        <v>127.9</v>
      </c>
      <c r="K99" s="24">
        <f>AVERAGE(K100:K102)</f>
        <v>17.486666666666668</v>
      </c>
      <c r="L99" s="16"/>
      <c r="M99" s="24">
        <v>8.11</v>
      </c>
      <c r="N99" s="24">
        <v>11.02</v>
      </c>
      <c r="O99" s="24">
        <v>836.93680796992919</v>
      </c>
      <c r="P99" s="28">
        <v>15239.05</v>
      </c>
    </row>
    <row r="100" spans="2:16" x14ac:dyDescent="0.3">
      <c r="B100" s="8">
        <v>2016</v>
      </c>
      <c r="C100" s="8"/>
      <c r="D100" s="24">
        <v>31.41</v>
      </c>
      <c r="E100" s="24">
        <v>1.75</v>
      </c>
      <c r="F100" s="16"/>
      <c r="G100" s="24">
        <v>7.41</v>
      </c>
      <c r="H100" s="16"/>
      <c r="I100" s="24">
        <v>84.86</v>
      </c>
      <c r="J100" s="24">
        <v>358</v>
      </c>
      <c r="K100" s="24">
        <f>AVERAGE(K101:K103)</f>
        <v>16.86</v>
      </c>
      <c r="L100" s="16"/>
      <c r="M100" s="24">
        <v>7.38</v>
      </c>
      <c r="N100" s="24">
        <v>11.8</v>
      </c>
      <c r="O100" s="24">
        <v>836.93680796992919</v>
      </c>
      <c r="P100" s="28">
        <v>15547.68</v>
      </c>
    </row>
    <row r="101" spans="2:16" x14ac:dyDescent="0.3">
      <c r="B101" s="8">
        <v>2017</v>
      </c>
      <c r="C101" s="8"/>
      <c r="D101" s="24">
        <v>37.799999999999997</v>
      </c>
      <c r="E101" s="24">
        <v>2.08</v>
      </c>
      <c r="F101" s="16"/>
      <c r="G101" s="24">
        <v>20.010000000000002</v>
      </c>
      <c r="H101" s="16"/>
      <c r="I101" s="24">
        <v>91.12</v>
      </c>
      <c r="J101" s="24">
        <v>333.8</v>
      </c>
      <c r="K101" s="24">
        <v>19</v>
      </c>
      <c r="L101" s="16"/>
      <c r="M101" s="24">
        <v>4.7699999999999996</v>
      </c>
      <c r="N101" s="24">
        <v>7.41</v>
      </c>
      <c r="O101" s="24">
        <v>403.44060230454744</v>
      </c>
      <c r="P101" s="28">
        <v>17048.169999999998</v>
      </c>
    </row>
    <row r="102" spans="2:16" x14ac:dyDescent="0.3">
      <c r="B102" s="8">
        <v>2018</v>
      </c>
      <c r="C102" s="8"/>
      <c r="D102" s="24">
        <v>52.54</v>
      </c>
      <c r="E102" s="24">
        <v>31.8</v>
      </c>
      <c r="F102" s="16"/>
      <c r="G102" s="24">
        <v>34.549999999999997</v>
      </c>
      <c r="H102" s="16"/>
      <c r="I102" s="24">
        <v>91.12</v>
      </c>
      <c r="J102" s="24">
        <v>322</v>
      </c>
      <c r="K102" s="24">
        <v>16.600000000000001</v>
      </c>
      <c r="L102" s="16"/>
      <c r="M102" s="24">
        <v>6.43</v>
      </c>
      <c r="N102" s="24">
        <v>10.54</v>
      </c>
      <c r="O102" s="24">
        <v>-10.468567751956192</v>
      </c>
      <c r="P102" s="28">
        <v>18418.810000000001</v>
      </c>
    </row>
    <row r="103" spans="2:16" x14ac:dyDescent="0.3">
      <c r="B103" s="8">
        <v>2019</v>
      </c>
      <c r="C103" s="8"/>
      <c r="D103" s="24">
        <v>62.46</v>
      </c>
      <c r="E103" s="24">
        <v>39.409999999999997</v>
      </c>
      <c r="F103" s="16"/>
      <c r="G103" s="24">
        <v>56.74</v>
      </c>
      <c r="H103" s="16"/>
      <c r="I103" s="24">
        <v>91.12</v>
      </c>
      <c r="J103" s="24">
        <v>334.2</v>
      </c>
      <c r="K103" s="24">
        <v>14.98</v>
      </c>
      <c r="L103" s="16"/>
      <c r="M103" s="24">
        <v>6.53</v>
      </c>
      <c r="N103" s="24">
        <v>10.25</v>
      </c>
      <c r="O103" s="24">
        <v>88.428609823034051</v>
      </c>
      <c r="P103" s="28">
        <v>20405.66</v>
      </c>
    </row>
    <row r="104" spans="2:16" x14ac:dyDescent="0.3">
      <c r="B104" s="8">
        <v>2020</v>
      </c>
      <c r="C104" s="8"/>
      <c r="D104" s="24">
        <v>62.46</v>
      </c>
      <c r="E104" s="24">
        <v>39.409999999999997</v>
      </c>
      <c r="F104" s="16"/>
      <c r="G104" s="24">
        <v>56.74</v>
      </c>
      <c r="H104" s="16"/>
      <c r="I104" s="24">
        <v>91.12</v>
      </c>
      <c r="J104" s="24">
        <v>362.4</v>
      </c>
      <c r="K104" s="24">
        <v>24.47</v>
      </c>
      <c r="L104" s="16"/>
      <c r="M104" s="24">
        <v>6.49</v>
      </c>
      <c r="N104" s="24">
        <v>9.94</v>
      </c>
      <c r="O104" s="24">
        <v>88.428609823034051</v>
      </c>
      <c r="P104" s="28">
        <v>22963.74</v>
      </c>
    </row>
    <row r="105" spans="2:16" x14ac:dyDescent="0.3">
      <c r="B105" s="8">
        <v>2021</v>
      </c>
      <c r="C105" s="8"/>
      <c r="D105" s="24">
        <v>64.290000000000006</v>
      </c>
      <c r="E105" s="24">
        <v>44.91</v>
      </c>
      <c r="F105" s="16"/>
      <c r="G105" s="24">
        <v>56.74</v>
      </c>
      <c r="H105" s="16"/>
      <c r="I105" s="24">
        <v>91.12</v>
      </c>
      <c r="J105" s="24">
        <v>481.5</v>
      </c>
      <c r="K105" s="24">
        <v>17.170000000000002</v>
      </c>
      <c r="L105" s="16"/>
      <c r="M105" s="24">
        <v>9.85</v>
      </c>
      <c r="N105" s="24">
        <v>13.79</v>
      </c>
      <c r="O105" s="24">
        <v>224.72011246440294</v>
      </c>
      <c r="P105" s="28">
        <v>25449.05</v>
      </c>
    </row>
    <row r="106" spans="2:16" x14ac:dyDescent="0.3">
      <c r="B106" s="8">
        <v>2022</v>
      </c>
      <c r="C106" s="8"/>
      <c r="D106" s="24">
        <v>63.64</v>
      </c>
      <c r="E106" s="24">
        <v>43.19</v>
      </c>
      <c r="F106" s="16"/>
      <c r="G106" s="24">
        <v>56.5</v>
      </c>
      <c r="H106" s="16"/>
      <c r="I106" s="24">
        <v>91.12</v>
      </c>
      <c r="J106" s="24">
        <v>906.1</v>
      </c>
      <c r="K106" s="24">
        <v>21.7</v>
      </c>
      <c r="L106" s="16"/>
      <c r="M106" s="24">
        <v>9.6300000000000008</v>
      </c>
      <c r="N106" s="24">
        <v>12.85</v>
      </c>
      <c r="O106" s="24">
        <v>180.33440056315843</v>
      </c>
      <c r="P106" s="28">
        <v>27596.47</v>
      </c>
    </row>
    <row r="107" spans="2:16" x14ac:dyDescent="0.3">
      <c r="B107" s="9">
        <v>2015</v>
      </c>
      <c r="C107" s="9"/>
      <c r="D107" s="25">
        <v>45.78</v>
      </c>
      <c r="E107" s="25">
        <v>25.82</v>
      </c>
      <c r="F107" s="16"/>
      <c r="G107" s="25">
        <v>21.49</v>
      </c>
      <c r="H107" s="16"/>
      <c r="I107" s="25">
        <v>89.86</v>
      </c>
      <c r="J107" s="25">
        <v>158.02000000000001</v>
      </c>
      <c r="K107" s="25">
        <v>3.49</v>
      </c>
      <c r="L107" s="16"/>
      <c r="M107" s="25">
        <v>6.1</v>
      </c>
      <c r="N107" s="25">
        <v>22.95</v>
      </c>
      <c r="O107" s="25">
        <v>104.92228048767267</v>
      </c>
      <c r="P107" s="27">
        <v>56676</v>
      </c>
    </row>
    <row r="108" spans="2:16" x14ac:dyDescent="0.3">
      <c r="B108" s="9">
        <v>2016</v>
      </c>
      <c r="C108" s="9"/>
      <c r="D108" s="25">
        <v>46.69</v>
      </c>
      <c r="E108" s="25">
        <v>34.729999999999997</v>
      </c>
      <c r="F108" s="16"/>
      <c r="G108" s="25">
        <v>15.3</v>
      </c>
      <c r="H108" s="16"/>
      <c r="I108" s="25">
        <v>81.290000000000006</v>
      </c>
      <c r="J108" s="25">
        <v>158.02000000000001</v>
      </c>
      <c r="K108" s="25">
        <v>3.49</v>
      </c>
      <c r="L108" s="16"/>
      <c r="M108" s="25">
        <v>4.58</v>
      </c>
      <c r="N108" s="25">
        <v>17.13</v>
      </c>
      <c r="O108" s="25">
        <v>18.517148588096429</v>
      </c>
      <c r="P108" s="27">
        <v>58878.28</v>
      </c>
    </row>
    <row r="109" spans="2:16" x14ac:dyDescent="0.3">
      <c r="B109" s="9">
        <v>2017</v>
      </c>
      <c r="C109" s="9"/>
      <c r="D109" s="25">
        <v>49.14</v>
      </c>
      <c r="E109" s="25">
        <v>42.1</v>
      </c>
      <c r="F109" s="16"/>
      <c r="G109" s="25">
        <v>15.3</v>
      </c>
      <c r="H109" s="16"/>
      <c r="I109" s="25">
        <v>81.290000000000006</v>
      </c>
      <c r="J109" s="25">
        <v>158.02000000000001</v>
      </c>
      <c r="K109" s="25">
        <v>3.49</v>
      </c>
      <c r="L109" s="16"/>
      <c r="M109" s="25">
        <v>2.76</v>
      </c>
      <c r="N109" s="25">
        <v>10.88</v>
      </c>
      <c r="O109" s="25">
        <v>-104.26503787246934</v>
      </c>
      <c r="P109" s="27">
        <v>59212.3</v>
      </c>
    </row>
    <row r="110" spans="2:16" x14ac:dyDescent="0.3">
      <c r="B110" s="9">
        <v>2018</v>
      </c>
      <c r="C110" s="9"/>
      <c r="D110" s="25">
        <v>52.21</v>
      </c>
      <c r="E110" s="25">
        <v>44.07</v>
      </c>
      <c r="F110" s="16"/>
      <c r="G110" s="25">
        <v>22.55</v>
      </c>
      <c r="H110" s="16"/>
      <c r="I110" s="25">
        <v>81.290000000000006</v>
      </c>
      <c r="J110" s="25">
        <v>158.02000000000001</v>
      </c>
      <c r="K110" s="25">
        <v>3.49</v>
      </c>
      <c r="L110" s="16"/>
      <c r="M110" s="25">
        <v>2.97</v>
      </c>
      <c r="N110" s="25">
        <v>11.71</v>
      </c>
      <c r="O110" s="25">
        <v>-77.428014711033725</v>
      </c>
      <c r="P110" s="27">
        <v>60909.63</v>
      </c>
    </row>
    <row r="111" spans="2:16" x14ac:dyDescent="0.3">
      <c r="B111" s="9">
        <v>2019</v>
      </c>
      <c r="C111" s="9"/>
      <c r="D111" s="25">
        <v>44.57</v>
      </c>
      <c r="E111" s="25">
        <v>28.39</v>
      </c>
      <c r="F111" s="16"/>
      <c r="G111" s="25">
        <v>15.3</v>
      </c>
      <c r="H111" s="16"/>
      <c r="I111" s="25">
        <v>81.290000000000006</v>
      </c>
      <c r="J111" s="25">
        <v>158.02000000000001</v>
      </c>
      <c r="K111" s="25">
        <v>3.49</v>
      </c>
      <c r="L111" s="16"/>
      <c r="M111" s="25">
        <v>-9.0299999999999994</v>
      </c>
      <c r="N111" s="25">
        <v>-37.049999999999997</v>
      </c>
      <c r="O111" s="25">
        <v>124.13981645240932</v>
      </c>
      <c r="P111" s="27">
        <v>62589.87</v>
      </c>
    </row>
    <row r="112" spans="2:16" x14ac:dyDescent="0.3">
      <c r="B112" s="9">
        <v>2020</v>
      </c>
      <c r="C112" s="9"/>
      <c r="D112" s="25">
        <v>48.39</v>
      </c>
      <c r="E112" s="25">
        <v>34.4</v>
      </c>
      <c r="F112" s="16"/>
      <c r="G112" s="25">
        <v>20.74</v>
      </c>
      <c r="H112" s="16"/>
      <c r="I112" s="25">
        <v>81.290000000000006</v>
      </c>
      <c r="J112" s="25">
        <v>158.02000000000001</v>
      </c>
      <c r="K112" s="25">
        <v>3.49</v>
      </c>
      <c r="L112" s="16"/>
      <c r="M112" s="25">
        <v>-3.84</v>
      </c>
      <c r="N112" s="25">
        <v>-19.579999999999998</v>
      </c>
      <c r="O112" s="25">
        <v>16.173143407247636</v>
      </c>
      <c r="P112" s="27">
        <v>65059.66</v>
      </c>
    </row>
    <row r="113" spans="2:16" x14ac:dyDescent="0.3">
      <c r="B113" s="9">
        <v>2021</v>
      </c>
      <c r="C113" s="9"/>
      <c r="D113" s="25">
        <v>44.93</v>
      </c>
      <c r="E113" s="25">
        <v>31.26</v>
      </c>
      <c r="F113" s="16"/>
      <c r="G113" s="25">
        <v>13.48</v>
      </c>
      <c r="H113" s="16"/>
      <c r="I113" s="25">
        <v>81.290000000000006</v>
      </c>
      <c r="J113" s="25">
        <v>158.02000000000001</v>
      </c>
      <c r="K113" s="25">
        <v>3.49</v>
      </c>
      <c r="L113" s="16"/>
      <c r="M113" s="25">
        <v>-4.04</v>
      </c>
      <c r="N113" s="25">
        <v>-22.73</v>
      </c>
      <c r="O113" s="25">
        <v>84.664715510332229</v>
      </c>
      <c r="P113" s="27">
        <v>63899.87</v>
      </c>
    </row>
    <row r="114" spans="2:16" x14ac:dyDescent="0.3">
      <c r="B114" s="9">
        <v>2022</v>
      </c>
      <c r="C114" s="9"/>
      <c r="D114" s="25">
        <v>45.45</v>
      </c>
      <c r="E114" s="25">
        <v>31.26</v>
      </c>
      <c r="F114" s="16"/>
      <c r="G114" s="25">
        <v>15.05</v>
      </c>
      <c r="H114" s="16"/>
      <c r="I114" s="25">
        <v>81.290000000000006</v>
      </c>
      <c r="J114" s="25">
        <v>158.02000000000001</v>
      </c>
      <c r="K114" s="25">
        <v>3.49</v>
      </c>
      <c r="L114" s="16"/>
      <c r="M114" s="25">
        <v>-3.4</v>
      </c>
      <c r="N114" s="25">
        <v>-22.93</v>
      </c>
      <c r="O114" s="25">
        <v>77.471773491009515</v>
      </c>
      <c r="P114" s="27">
        <v>60293.51</v>
      </c>
    </row>
    <row r="115" spans="2:16" x14ac:dyDescent="0.3">
      <c r="B115" s="4">
        <v>2015</v>
      </c>
      <c r="C115" s="4"/>
      <c r="D115" s="10">
        <v>39.979999999999997</v>
      </c>
      <c r="E115" s="10">
        <v>16.79</v>
      </c>
      <c r="F115" s="16"/>
      <c r="G115" s="10">
        <v>24.4</v>
      </c>
      <c r="H115" s="16"/>
      <c r="I115" s="10">
        <v>78.599999999999994</v>
      </c>
      <c r="J115" s="10">
        <v>132.80000000000001</v>
      </c>
      <c r="K115" s="10">
        <v>6.1</v>
      </c>
      <c r="L115" s="16"/>
      <c r="M115" s="10">
        <v>22.76</v>
      </c>
      <c r="N115" s="10">
        <v>38.89</v>
      </c>
      <c r="O115" s="10">
        <v>144.02407248347919</v>
      </c>
      <c r="P115" s="28">
        <v>13533.74</v>
      </c>
    </row>
    <row r="116" spans="2:16" x14ac:dyDescent="0.3">
      <c r="B116" s="4">
        <v>2016</v>
      </c>
      <c r="C116" s="4"/>
      <c r="D116" s="10">
        <v>39.119999999999997</v>
      </c>
      <c r="E116" s="10">
        <v>16.79</v>
      </c>
      <c r="F116" s="16"/>
      <c r="G116" s="10">
        <v>21.83</v>
      </c>
      <c r="H116" s="16"/>
      <c r="I116" s="10">
        <v>78.599999999999994</v>
      </c>
      <c r="J116" s="10">
        <v>666.4</v>
      </c>
      <c r="K116" s="10">
        <v>4.0199999999999996</v>
      </c>
      <c r="L116" s="16"/>
      <c r="M116" s="10">
        <v>26.68</v>
      </c>
      <c r="N116" s="10">
        <v>40.880000000000003</v>
      </c>
      <c r="O116" s="10">
        <v>192.9864062348546</v>
      </c>
      <c r="P116" s="28">
        <v>15776.34</v>
      </c>
    </row>
    <row r="117" spans="2:16" x14ac:dyDescent="0.3">
      <c r="B117" s="4">
        <v>2017</v>
      </c>
      <c r="C117" s="4"/>
      <c r="D117" s="10">
        <v>48.89</v>
      </c>
      <c r="E117" s="10">
        <v>40.200000000000003</v>
      </c>
      <c r="F117" s="16"/>
      <c r="G117" s="10">
        <v>27.75</v>
      </c>
      <c r="H117" s="16"/>
      <c r="I117" s="10">
        <v>78.599999999999994</v>
      </c>
      <c r="J117" s="10">
        <v>706.2</v>
      </c>
      <c r="K117" s="10">
        <v>1.74</v>
      </c>
      <c r="L117" s="16"/>
      <c r="M117" s="10">
        <v>25.41</v>
      </c>
      <c r="N117" s="10">
        <v>37.43</v>
      </c>
      <c r="O117" s="10">
        <v>-18.34812903081637</v>
      </c>
      <c r="P117" s="28">
        <v>18185.75</v>
      </c>
    </row>
    <row r="118" spans="2:16" x14ac:dyDescent="0.3">
      <c r="B118" s="4">
        <v>2018</v>
      </c>
      <c r="C118" s="4"/>
      <c r="D118" s="10">
        <v>57.05</v>
      </c>
      <c r="E118" s="10">
        <v>56.6</v>
      </c>
      <c r="F118" s="16"/>
      <c r="G118" s="10">
        <v>29.56</v>
      </c>
      <c r="H118" s="16"/>
      <c r="I118" s="10">
        <v>84.86</v>
      </c>
      <c r="J118" s="10">
        <v>826</v>
      </c>
      <c r="K118" s="10">
        <v>1.42</v>
      </c>
      <c r="L118" s="16"/>
      <c r="M118" s="10">
        <v>22.75</v>
      </c>
      <c r="N118" s="10">
        <v>33.39</v>
      </c>
      <c r="O118" s="10">
        <v>-49.814748462477269</v>
      </c>
      <c r="P118" s="28">
        <v>19232.64</v>
      </c>
    </row>
    <row r="119" spans="2:16" x14ac:dyDescent="0.3">
      <c r="B119" s="4">
        <v>2019</v>
      </c>
      <c r="C119" s="4"/>
      <c r="D119" s="10">
        <v>58.56</v>
      </c>
      <c r="E119" s="10">
        <v>61.13</v>
      </c>
      <c r="F119" s="16"/>
      <c r="G119" s="10">
        <v>29.56</v>
      </c>
      <c r="H119" s="16"/>
      <c r="I119" s="10">
        <v>84.86</v>
      </c>
      <c r="J119" s="10">
        <v>1019.5</v>
      </c>
      <c r="K119" s="10">
        <v>1.8</v>
      </c>
      <c r="L119" s="16"/>
      <c r="M119" s="10">
        <v>19.190000000000001</v>
      </c>
      <c r="N119" s="10">
        <v>27.45</v>
      </c>
      <c r="O119" s="10">
        <v>-60.685510832404361</v>
      </c>
      <c r="P119" s="28">
        <v>19822.75</v>
      </c>
    </row>
    <row r="120" spans="2:16" x14ac:dyDescent="0.3">
      <c r="B120" s="4">
        <v>2020</v>
      </c>
      <c r="C120" s="4"/>
      <c r="D120" s="10">
        <v>58.82</v>
      </c>
      <c r="E120" s="10">
        <v>61.13</v>
      </c>
      <c r="F120" s="16"/>
      <c r="G120" s="10">
        <v>30.35</v>
      </c>
      <c r="H120" s="16"/>
      <c r="I120" s="10">
        <v>84.86</v>
      </c>
      <c r="J120" s="10">
        <v>1312.2</v>
      </c>
      <c r="K120" s="10">
        <v>7</v>
      </c>
      <c r="L120" s="16"/>
      <c r="M120" s="10">
        <v>19.059999999999999</v>
      </c>
      <c r="N120" s="10">
        <v>26.43</v>
      </c>
      <c r="O120" s="10">
        <v>-40.707589300725914</v>
      </c>
      <c r="P120" s="28">
        <v>23078.89</v>
      </c>
    </row>
    <row r="121" spans="2:16" x14ac:dyDescent="0.3">
      <c r="B121" s="4">
        <v>2021</v>
      </c>
      <c r="C121" s="4"/>
      <c r="D121" s="10">
        <v>61.07</v>
      </c>
      <c r="E121" s="10">
        <v>64.510000000000005</v>
      </c>
      <c r="F121" s="16"/>
      <c r="G121" s="10">
        <v>33.74</v>
      </c>
      <c r="H121" s="16"/>
      <c r="I121" s="10">
        <v>84.86</v>
      </c>
      <c r="J121" s="10">
        <v>683.5</v>
      </c>
      <c r="K121" s="10">
        <v>4</v>
      </c>
      <c r="L121" s="16"/>
      <c r="M121" s="10">
        <v>13.64</v>
      </c>
      <c r="N121" s="10">
        <v>19.57</v>
      </c>
      <c r="O121" s="10">
        <v>51.037777169038563</v>
      </c>
      <c r="P121" s="28">
        <v>22510.1</v>
      </c>
    </row>
    <row r="122" spans="2:16" x14ac:dyDescent="0.3">
      <c r="B122" s="4">
        <v>2022</v>
      </c>
      <c r="C122" s="4"/>
      <c r="D122" s="10">
        <v>47.85</v>
      </c>
      <c r="E122" s="10">
        <v>38.9</v>
      </c>
      <c r="F122" s="16"/>
      <c r="G122" s="10">
        <v>24.31</v>
      </c>
      <c r="H122" s="16"/>
      <c r="I122" s="10">
        <v>80.209999999999994</v>
      </c>
      <c r="J122" s="10">
        <v>620.34</v>
      </c>
      <c r="K122" s="10">
        <v>4.0199999999999996</v>
      </c>
      <c r="L122" s="16"/>
      <c r="M122" s="10">
        <v>10.17</v>
      </c>
      <c r="N122" s="10">
        <v>14.82</v>
      </c>
      <c r="O122" s="10">
        <v>-23.396752642333205</v>
      </c>
      <c r="P122" s="28">
        <v>24201.89</v>
      </c>
    </row>
    <row r="123" spans="2:16" x14ac:dyDescent="0.3">
      <c r="B123" s="2">
        <v>2015</v>
      </c>
      <c r="C123" s="2"/>
      <c r="D123" s="3">
        <v>54.23</v>
      </c>
      <c r="E123" s="3">
        <v>56.387799999999999</v>
      </c>
      <c r="F123" s="16"/>
      <c r="G123" s="3">
        <v>23.821000000000002</v>
      </c>
      <c r="H123" s="16"/>
      <c r="I123" s="3">
        <v>82.36</v>
      </c>
      <c r="J123" s="3">
        <v>532.1</v>
      </c>
      <c r="K123" s="3">
        <v>19</v>
      </c>
      <c r="L123" s="16"/>
      <c r="M123" s="3">
        <v>14.685499999999999</v>
      </c>
      <c r="N123" s="3">
        <v>24.527999999999999</v>
      </c>
      <c r="O123" s="3">
        <v>-167.22078958686291</v>
      </c>
      <c r="P123" s="27">
        <v>20508.8</v>
      </c>
    </row>
    <row r="124" spans="2:16" x14ac:dyDescent="0.3">
      <c r="B124" s="2">
        <v>2016</v>
      </c>
      <c r="C124" s="2"/>
      <c r="D124" s="3">
        <v>55.799199999999999</v>
      </c>
      <c r="E124" s="3">
        <v>56.387799999999999</v>
      </c>
      <c r="F124" s="16"/>
      <c r="G124" s="3">
        <v>28.536899999999999</v>
      </c>
      <c r="H124" s="16"/>
      <c r="I124" s="3">
        <v>82.36</v>
      </c>
      <c r="J124" s="3">
        <v>414</v>
      </c>
      <c r="K124" s="3">
        <v>20</v>
      </c>
      <c r="L124" s="16"/>
      <c r="M124" s="3">
        <v>14.1265</v>
      </c>
      <c r="N124" s="3">
        <v>22.249300000000002</v>
      </c>
      <c r="O124" s="3">
        <v>-70.326454426050233</v>
      </c>
      <c r="P124" s="27">
        <v>23707.9</v>
      </c>
    </row>
    <row r="125" spans="2:16" x14ac:dyDescent="0.3">
      <c r="B125" s="2">
        <v>2017</v>
      </c>
      <c r="C125" s="2"/>
      <c r="D125" s="3">
        <v>54.511600000000001</v>
      </c>
      <c r="E125" s="3">
        <v>53.277000000000001</v>
      </c>
      <c r="F125" s="16"/>
      <c r="G125" s="3">
        <v>27.781099999999999</v>
      </c>
      <c r="H125" s="16"/>
      <c r="I125" s="3">
        <v>82.36</v>
      </c>
      <c r="J125" s="3">
        <v>608.20000000000005</v>
      </c>
      <c r="K125" s="3">
        <v>17</v>
      </c>
      <c r="L125" s="16"/>
      <c r="M125" s="3">
        <v>11.5778</v>
      </c>
      <c r="N125" s="3">
        <v>18.097200000000001</v>
      </c>
      <c r="O125" s="3">
        <v>-72.856481988923065</v>
      </c>
      <c r="P125" s="27">
        <v>26555.1</v>
      </c>
    </row>
    <row r="126" spans="2:16" x14ac:dyDescent="0.3">
      <c r="B126" s="2">
        <v>2018</v>
      </c>
      <c r="C126" s="2"/>
      <c r="D126" s="3">
        <v>56.795099999999998</v>
      </c>
      <c r="E126" s="3">
        <v>54.9985</v>
      </c>
      <c r="F126" s="16"/>
      <c r="G126" s="3">
        <v>32.920200000000001</v>
      </c>
      <c r="H126" s="16"/>
      <c r="I126" s="3">
        <v>82.36</v>
      </c>
      <c r="J126" s="3">
        <v>715.5</v>
      </c>
      <c r="K126" s="3">
        <v>18</v>
      </c>
      <c r="L126" s="16"/>
      <c r="M126" s="3">
        <v>13.4497</v>
      </c>
      <c r="N126" s="3">
        <v>21.096299999999999</v>
      </c>
      <c r="O126" s="3">
        <v>18.399793177633477</v>
      </c>
      <c r="P126" s="27">
        <v>30123.8</v>
      </c>
    </row>
    <row r="127" spans="2:16" x14ac:dyDescent="0.3">
      <c r="B127" s="2">
        <v>2019</v>
      </c>
      <c r="C127" s="2"/>
      <c r="D127" s="3">
        <v>63.957299999999996</v>
      </c>
      <c r="E127" s="3">
        <v>58.683199999999999</v>
      </c>
      <c r="F127" s="16"/>
      <c r="G127" s="3">
        <v>48.246699999999997</v>
      </c>
      <c r="H127" s="16"/>
      <c r="I127" s="3">
        <v>84.858500000000006</v>
      </c>
      <c r="J127" s="3">
        <v>844.1</v>
      </c>
      <c r="K127" s="3">
        <v>20.8</v>
      </c>
      <c r="L127" s="16"/>
      <c r="M127" s="3">
        <v>13.4544</v>
      </c>
      <c r="N127" s="3">
        <v>21.067499999999999</v>
      </c>
      <c r="O127" s="3">
        <v>372.02229057408272</v>
      </c>
      <c r="P127" s="27">
        <v>29885.599999999999</v>
      </c>
    </row>
    <row r="128" spans="2:16" x14ac:dyDescent="0.3">
      <c r="B128" s="2">
        <v>2020</v>
      </c>
      <c r="C128" s="2"/>
      <c r="D128" s="3">
        <v>67.910700000000006</v>
      </c>
      <c r="E128" s="3">
        <v>67.290800000000004</v>
      </c>
      <c r="F128" s="16"/>
      <c r="G128" s="3">
        <v>49.002400000000002</v>
      </c>
      <c r="H128" s="16"/>
      <c r="I128" s="3">
        <v>87.356999999999999</v>
      </c>
      <c r="J128" s="3">
        <v>947.5</v>
      </c>
      <c r="K128" s="3">
        <v>19.100000000000001</v>
      </c>
      <c r="L128" s="16"/>
      <c r="M128" s="3">
        <v>11.3926</v>
      </c>
      <c r="N128" s="3">
        <v>18.6678</v>
      </c>
      <c r="O128" s="3">
        <v>535.98028341323379</v>
      </c>
      <c r="P128" s="27">
        <v>32969.300000000003</v>
      </c>
    </row>
    <row r="129" spans="2:16" x14ac:dyDescent="0.3">
      <c r="B129" s="2">
        <v>2021</v>
      </c>
      <c r="C129" s="2"/>
      <c r="D129" s="3">
        <v>68.262799999999999</v>
      </c>
      <c r="E129" s="3">
        <v>67.290800000000004</v>
      </c>
      <c r="F129" s="16"/>
      <c r="G129" s="3">
        <v>50.060499999999998</v>
      </c>
      <c r="H129" s="16"/>
      <c r="I129" s="3">
        <v>87.356999999999999</v>
      </c>
      <c r="J129" s="3">
        <v>1050</v>
      </c>
      <c r="K129" s="3">
        <v>13.3</v>
      </c>
      <c r="L129" s="16"/>
      <c r="M129" s="3">
        <v>11.496600000000001</v>
      </c>
      <c r="N129" s="3">
        <v>18.4236</v>
      </c>
      <c r="O129" s="3">
        <v>569.2567964915487</v>
      </c>
      <c r="P129" s="27">
        <v>35285.1</v>
      </c>
    </row>
    <row r="130" spans="2:16" x14ac:dyDescent="0.3">
      <c r="B130" s="2">
        <v>2022</v>
      </c>
      <c r="C130" s="2"/>
      <c r="D130" s="3">
        <v>67.850300000000004</v>
      </c>
      <c r="E130" s="3">
        <v>67.623099999999994</v>
      </c>
      <c r="F130" s="16"/>
      <c r="G130" s="3">
        <v>48.488500000000002</v>
      </c>
      <c r="H130" s="16"/>
      <c r="I130" s="3">
        <v>87.356999999999999</v>
      </c>
      <c r="J130" s="3">
        <v>1086</v>
      </c>
      <c r="K130" s="3">
        <v>23.5</v>
      </c>
      <c r="L130" s="16"/>
      <c r="M130" s="3">
        <v>13.166600000000001</v>
      </c>
      <c r="N130" s="3">
        <v>20.795400000000001</v>
      </c>
      <c r="O130" s="3">
        <v>525.31099523119497</v>
      </c>
      <c r="P130" s="27">
        <v>35599.4</v>
      </c>
    </row>
    <row r="131" spans="2:16" x14ac:dyDescent="0.3">
      <c r="B131" s="4">
        <v>2015</v>
      </c>
      <c r="C131" s="4"/>
      <c r="D131" s="10">
        <v>55.7791</v>
      </c>
      <c r="E131" s="10">
        <v>46.420999999999999</v>
      </c>
      <c r="F131" s="16"/>
      <c r="G131" s="10">
        <v>33.434100000000001</v>
      </c>
      <c r="H131" s="16"/>
      <c r="I131" s="10">
        <v>87.356999999999999</v>
      </c>
      <c r="J131" s="10">
        <f>AVERAGE(J132:J134)</f>
        <v>990.66666666666663</v>
      </c>
      <c r="K131" s="10">
        <v>18.899999999999999</v>
      </c>
      <c r="L131" s="16"/>
      <c r="M131" s="10">
        <v>19.981000000000002</v>
      </c>
      <c r="N131" s="10">
        <v>24.427399999999999</v>
      </c>
      <c r="O131" s="10">
        <v>15.598143539014931</v>
      </c>
      <c r="P131" s="28">
        <v>72327</v>
      </c>
    </row>
    <row r="132" spans="2:16" x14ac:dyDescent="0.3">
      <c r="B132" s="4">
        <v>2016</v>
      </c>
      <c r="C132" s="4"/>
      <c r="D132" s="10">
        <v>56.634099999999997</v>
      </c>
      <c r="E132" s="10">
        <v>46.420999999999999</v>
      </c>
      <c r="F132" s="16"/>
      <c r="G132" s="10">
        <v>36.003599999999999</v>
      </c>
      <c r="H132" s="16"/>
      <c r="I132" s="10">
        <v>87.356999999999999</v>
      </c>
      <c r="J132" s="10">
        <f>AVERAGE(J133:J135)</f>
        <v>1042</v>
      </c>
      <c r="K132" s="10">
        <v>13.6</v>
      </c>
      <c r="L132" s="16"/>
      <c r="M132" s="10">
        <v>19.036100000000001</v>
      </c>
      <c r="N132" s="10">
        <v>23.319400000000002</v>
      </c>
      <c r="O132" s="10">
        <v>42.782190033505522</v>
      </c>
      <c r="P132" s="28">
        <v>79539</v>
      </c>
    </row>
    <row r="133" spans="2:16" x14ac:dyDescent="0.3">
      <c r="B133" s="4">
        <v>2017</v>
      </c>
      <c r="C133" s="4"/>
      <c r="D133" s="10">
        <v>58.022300000000001</v>
      </c>
      <c r="E133" s="10">
        <v>46.420999999999999</v>
      </c>
      <c r="F133" s="16"/>
      <c r="G133" s="10">
        <v>40.1753</v>
      </c>
      <c r="H133" s="16"/>
      <c r="I133" s="10">
        <v>87.356999999999999</v>
      </c>
      <c r="J133" s="10">
        <v>250</v>
      </c>
      <c r="K133" s="10">
        <v>19.225999999999999</v>
      </c>
      <c r="L133" s="16"/>
      <c r="M133" s="10">
        <v>18.083200000000001</v>
      </c>
      <c r="N133" s="10">
        <v>21.9755</v>
      </c>
      <c r="O133" s="10">
        <v>86.916724674901332</v>
      </c>
      <c r="P133" s="28">
        <v>74749</v>
      </c>
    </row>
    <row r="134" spans="2:16" x14ac:dyDescent="0.3">
      <c r="B134" s="4">
        <v>2018</v>
      </c>
      <c r="C134" s="4"/>
      <c r="D134" s="10">
        <v>64.057900000000004</v>
      </c>
      <c r="E134" s="10">
        <v>49.290199999999999</v>
      </c>
      <c r="F134" s="16"/>
      <c r="G134" s="10">
        <v>52.932299999999998</v>
      </c>
      <c r="H134" s="16"/>
      <c r="I134" s="10">
        <v>89.855500000000006</v>
      </c>
      <c r="J134" s="10">
        <v>1680</v>
      </c>
      <c r="K134" s="10">
        <v>19.96</v>
      </c>
      <c r="L134" s="16"/>
      <c r="M134" s="10">
        <v>19.638000000000002</v>
      </c>
      <c r="N134" s="10">
        <v>23.799700000000001</v>
      </c>
      <c r="O134" s="10">
        <v>282.05401869612615</v>
      </c>
      <c r="P134" s="28">
        <v>77816</v>
      </c>
    </row>
    <row r="135" spans="2:16" x14ac:dyDescent="0.3">
      <c r="B135" s="4">
        <v>2019</v>
      </c>
      <c r="C135" s="4"/>
      <c r="D135" s="10">
        <v>59.5212</v>
      </c>
      <c r="E135" s="10">
        <v>40.682600000000001</v>
      </c>
      <c r="F135" s="16"/>
      <c r="G135" s="10">
        <v>52.932299999999998</v>
      </c>
      <c r="H135" s="16"/>
      <c r="I135" s="10">
        <v>84.858500000000006</v>
      </c>
      <c r="J135" s="10">
        <v>1196</v>
      </c>
      <c r="K135" s="10">
        <v>20.329999999999998</v>
      </c>
      <c r="L135" s="16"/>
      <c r="M135" s="10">
        <v>18.713699999999999</v>
      </c>
      <c r="N135" s="10">
        <v>24.315999999999999</v>
      </c>
      <c r="O135" s="10">
        <v>101.53049755506316</v>
      </c>
      <c r="P135" s="28">
        <v>79612</v>
      </c>
    </row>
    <row r="136" spans="2:16" x14ac:dyDescent="0.3">
      <c r="B136" s="4">
        <v>2020</v>
      </c>
      <c r="C136" s="4"/>
      <c r="D136" s="10">
        <v>56.372599999999998</v>
      </c>
      <c r="E136" s="10">
        <v>42.4041</v>
      </c>
      <c r="F136" s="16"/>
      <c r="G136" s="10">
        <v>41.747300000000003</v>
      </c>
      <c r="H136" s="16"/>
      <c r="I136" s="10">
        <v>84.858500000000006</v>
      </c>
      <c r="J136" s="10">
        <v>1153.5</v>
      </c>
      <c r="K136" s="10">
        <v>21.39</v>
      </c>
      <c r="L136" s="16"/>
      <c r="M136" s="10">
        <v>18.6968</v>
      </c>
      <c r="N136" s="10">
        <v>25.3994</v>
      </c>
      <c r="O136" s="10">
        <v>64.232008854820961</v>
      </c>
      <c r="P136" s="28">
        <v>92984</v>
      </c>
    </row>
    <row r="137" spans="2:16" x14ac:dyDescent="0.3">
      <c r="B137" s="4">
        <v>2021</v>
      </c>
      <c r="C137" s="4"/>
      <c r="D137" s="10">
        <v>60.265599999999999</v>
      </c>
      <c r="E137" s="10">
        <v>42.7363</v>
      </c>
      <c r="F137" s="16"/>
      <c r="G137" s="10">
        <v>48.095500000000001</v>
      </c>
      <c r="H137" s="16"/>
      <c r="I137" s="10">
        <v>89.855500000000006</v>
      </c>
      <c r="J137" s="10">
        <v>3253.2</v>
      </c>
      <c r="K137" s="10">
        <v>13.9</v>
      </c>
      <c r="L137" s="16"/>
      <c r="M137" s="10">
        <v>19.239999999999998</v>
      </c>
      <c r="N137" s="10">
        <v>27.324400000000001</v>
      </c>
      <c r="O137" s="10">
        <v>111.25306252094275</v>
      </c>
      <c r="P137" s="28">
        <v>98417</v>
      </c>
    </row>
    <row r="138" spans="2:16" x14ac:dyDescent="0.3">
      <c r="B138" s="4">
        <v>2022</v>
      </c>
      <c r="C138" s="4"/>
      <c r="D138" s="10">
        <v>65.023600000000002</v>
      </c>
      <c r="E138" s="10">
        <v>42.7363</v>
      </c>
      <c r="F138" s="16"/>
      <c r="G138" s="10">
        <v>56.106400000000001</v>
      </c>
      <c r="H138" s="16"/>
      <c r="I138" s="10">
        <v>96.116799999999998</v>
      </c>
      <c r="J138" s="10">
        <v>3449.1</v>
      </c>
      <c r="K138" s="10">
        <v>30.38</v>
      </c>
      <c r="L138" s="16"/>
      <c r="M138" s="10">
        <v>19.542899999999999</v>
      </c>
      <c r="N138" s="10">
        <v>29.142600000000002</v>
      </c>
      <c r="O138" s="10">
        <v>166.48668207464186</v>
      </c>
      <c r="P138" s="28">
        <v>100558</v>
      </c>
    </row>
    <row r="139" spans="2:16" x14ac:dyDescent="0.3">
      <c r="B139" s="2">
        <v>2015</v>
      </c>
      <c r="C139" s="2"/>
      <c r="D139" s="3">
        <v>33.296399999999998</v>
      </c>
      <c r="E139" s="3">
        <v>0.42280000000000001</v>
      </c>
      <c r="F139" s="16"/>
      <c r="G139" s="3">
        <v>26.844000000000001</v>
      </c>
      <c r="H139" s="16"/>
      <c r="I139" s="3">
        <v>72.486500000000007</v>
      </c>
      <c r="J139" s="3">
        <v>1158</v>
      </c>
      <c r="K139" s="3">
        <f t="shared" ref="K139:K142" si="5">AVERAGE(K140:K141)</f>
        <v>5.9928124999999994</v>
      </c>
      <c r="L139" s="16"/>
      <c r="M139" s="3">
        <v>0.66700000000000004</v>
      </c>
      <c r="N139" s="3">
        <v>11.0299</v>
      </c>
      <c r="O139" s="3">
        <v>181.19235024819454</v>
      </c>
      <c r="P139" s="27">
        <v>2357617.54</v>
      </c>
    </row>
    <row r="140" spans="2:16" x14ac:dyDescent="0.3">
      <c r="B140" s="2">
        <v>2016</v>
      </c>
      <c r="C140" s="2"/>
      <c r="D140" s="3">
        <v>26.415900000000001</v>
      </c>
      <c r="E140" s="3">
        <v>2.0840000000000001</v>
      </c>
      <c r="F140" s="16"/>
      <c r="G140" s="3">
        <v>25.302299999999999</v>
      </c>
      <c r="H140" s="16"/>
      <c r="I140" s="3">
        <v>51.776000000000003</v>
      </c>
      <c r="J140" s="3">
        <v>1439.2</v>
      </c>
      <c r="K140" s="3">
        <f t="shared" si="5"/>
        <v>5.9943749999999998</v>
      </c>
      <c r="L140" s="16"/>
      <c r="M140" s="3">
        <v>0.42349999999999999</v>
      </c>
      <c r="N140" s="3">
        <v>7.1574</v>
      </c>
      <c r="O140" s="3">
        <v>224.73802990383516</v>
      </c>
      <c r="P140" s="27">
        <v>2705966.3</v>
      </c>
    </row>
    <row r="141" spans="2:16" x14ac:dyDescent="0.3">
      <c r="B141" s="2">
        <v>2017</v>
      </c>
      <c r="C141" s="2"/>
      <c r="D141" s="3">
        <v>30.268599999999999</v>
      </c>
      <c r="E141" s="3">
        <v>4.6512000000000002</v>
      </c>
      <c r="F141" s="16"/>
      <c r="G141" s="3">
        <v>34.3108</v>
      </c>
      <c r="H141" s="16"/>
      <c r="I141" s="3">
        <v>51.776000000000003</v>
      </c>
      <c r="J141" s="3">
        <v>898.2</v>
      </c>
      <c r="K141" s="3">
        <f t="shared" si="5"/>
        <v>5.9912499999999991</v>
      </c>
      <c r="L141" s="16"/>
      <c r="M141" s="3">
        <v>7.4000000000000003E-3</v>
      </c>
      <c r="N141" s="3">
        <v>0.13669999999999999</v>
      </c>
      <c r="O141" s="3">
        <v>-73.330659226012031</v>
      </c>
      <c r="P141" s="27">
        <v>3454752</v>
      </c>
    </row>
    <row r="142" spans="2:16" x14ac:dyDescent="0.3">
      <c r="B142" s="2">
        <v>2018</v>
      </c>
      <c r="C142" s="2"/>
      <c r="D142" s="3">
        <v>35.288200000000003</v>
      </c>
      <c r="E142" s="3">
        <v>4.6512000000000002</v>
      </c>
      <c r="F142" s="16"/>
      <c r="G142" s="3">
        <v>34.3108</v>
      </c>
      <c r="H142" s="16"/>
      <c r="I142" s="3">
        <v>66.7971</v>
      </c>
      <c r="J142" s="3">
        <v>929.6</v>
      </c>
      <c r="K142" s="3">
        <f t="shared" si="5"/>
        <v>5.9974999999999996</v>
      </c>
      <c r="L142" s="16"/>
      <c r="M142" s="3">
        <v>-0.129</v>
      </c>
      <c r="N142" s="3">
        <v>-2.0266999999999999</v>
      </c>
      <c r="O142" s="3">
        <v>-73.330659226012031</v>
      </c>
      <c r="P142" s="27">
        <v>3680914.25</v>
      </c>
    </row>
    <row r="143" spans="2:16" x14ac:dyDescent="0.3">
      <c r="B143" s="2">
        <v>2019</v>
      </c>
      <c r="C143" s="2"/>
      <c r="D143" s="3">
        <v>37.1693</v>
      </c>
      <c r="E143" s="3">
        <v>12.3528</v>
      </c>
      <c r="F143" s="16"/>
      <c r="G143" s="3">
        <v>32.255099999999999</v>
      </c>
      <c r="H143" s="16"/>
      <c r="I143" s="3">
        <v>66.7971</v>
      </c>
      <c r="J143" s="3">
        <v>488.1</v>
      </c>
      <c r="K143" s="3">
        <f>AVERAGE(K144:K145)</f>
        <v>5.9849999999999994</v>
      </c>
      <c r="L143" s="16"/>
      <c r="M143" s="3">
        <v>6.13E-2</v>
      </c>
      <c r="N143" s="3">
        <v>0.99919999999999998</v>
      </c>
      <c r="O143" s="3">
        <v>-6.9379302173828119</v>
      </c>
      <c r="P143" s="27">
        <v>3951393.92</v>
      </c>
    </row>
    <row r="144" spans="2:16" x14ac:dyDescent="0.3">
      <c r="B144" s="2">
        <v>2020</v>
      </c>
      <c r="C144" s="2"/>
      <c r="D144" s="3">
        <v>42.923200000000001</v>
      </c>
      <c r="E144" s="3">
        <v>27.061299999999999</v>
      </c>
      <c r="F144" s="16"/>
      <c r="G144" s="3">
        <v>34.8247</v>
      </c>
      <c r="H144" s="16"/>
      <c r="I144" s="3">
        <v>66.7971</v>
      </c>
      <c r="J144" s="3">
        <v>150.9</v>
      </c>
      <c r="K144" s="3">
        <v>6.01</v>
      </c>
      <c r="L144" s="16"/>
      <c r="M144" s="3">
        <v>0.4889</v>
      </c>
      <c r="N144" s="3">
        <v>8.1504999999999992</v>
      </c>
      <c r="O144" s="3">
        <v>-25.155014069233758</v>
      </c>
      <c r="P144" s="27">
        <v>4534429.63</v>
      </c>
    </row>
    <row r="145" spans="2:16" x14ac:dyDescent="0.3">
      <c r="B145" s="2">
        <v>2021</v>
      </c>
      <c r="C145" s="2"/>
      <c r="D145" s="3">
        <v>48.4358</v>
      </c>
      <c r="E145" s="3">
        <v>27.061299999999999</v>
      </c>
      <c r="F145" s="16"/>
      <c r="G145" s="3">
        <v>33.252699999999997</v>
      </c>
      <c r="H145" s="16"/>
      <c r="I145" s="3">
        <v>84.858500000000006</v>
      </c>
      <c r="J145" s="3">
        <v>1167.0999999999999</v>
      </c>
      <c r="K145" s="3">
        <v>5.96</v>
      </c>
      <c r="L145" s="16"/>
      <c r="M145" s="3">
        <v>0.4955</v>
      </c>
      <c r="N145" s="3">
        <v>8.5167000000000002</v>
      </c>
      <c r="O145" s="3">
        <v>-11.352552666446906</v>
      </c>
      <c r="P145" s="27">
        <v>4987597.41</v>
      </c>
    </row>
    <row r="146" spans="2:16" x14ac:dyDescent="0.3">
      <c r="B146" s="2">
        <v>2022</v>
      </c>
      <c r="C146" s="2"/>
      <c r="D146" s="3">
        <v>51.212200000000003</v>
      </c>
      <c r="E146" s="3">
        <v>34.3703</v>
      </c>
      <c r="F146" s="16"/>
      <c r="G146" s="3">
        <v>34.280500000000004</v>
      </c>
      <c r="H146" s="16"/>
      <c r="I146" s="3">
        <v>84.858500000000006</v>
      </c>
      <c r="J146" s="3">
        <v>2039.7</v>
      </c>
      <c r="K146" s="3">
        <v>4.72</v>
      </c>
      <c r="L146" s="16"/>
      <c r="M146" s="3">
        <v>0.69320000000000004</v>
      </c>
      <c r="N146" s="3">
        <v>12.1777</v>
      </c>
      <c r="O146" s="3">
        <v>-3.4143023548752023</v>
      </c>
      <c r="P146" s="27">
        <v>5516978.5300000003</v>
      </c>
    </row>
    <row r="147" spans="2:16" x14ac:dyDescent="0.3">
      <c r="B147" s="4">
        <v>2015</v>
      </c>
      <c r="C147" s="4"/>
      <c r="D147" s="10">
        <v>53.1</v>
      </c>
      <c r="E147" s="10">
        <v>48.51</v>
      </c>
      <c r="F147" s="16"/>
      <c r="G147" s="10">
        <v>20.8</v>
      </c>
      <c r="H147" s="16"/>
      <c r="I147" s="10">
        <v>89.86</v>
      </c>
      <c r="J147" s="10">
        <v>1327</v>
      </c>
      <c r="K147" s="10">
        <v>16.100000000000001</v>
      </c>
      <c r="L147" s="16"/>
      <c r="M147" s="10">
        <v>15.7</v>
      </c>
      <c r="N147" s="10">
        <v>22.34</v>
      </c>
      <c r="O147" s="10">
        <v>-141.37709113854552</v>
      </c>
      <c r="P147" s="28">
        <v>58499.5</v>
      </c>
    </row>
    <row r="148" spans="2:16" x14ac:dyDescent="0.3">
      <c r="B148" s="4">
        <v>2016</v>
      </c>
      <c r="C148" s="4"/>
      <c r="D148" s="10">
        <v>55.96</v>
      </c>
      <c r="E148" s="10">
        <v>55.27</v>
      </c>
      <c r="F148" s="16"/>
      <c r="G148" s="10">
        <v>22.61</v>
      </c>
      <c r="H148" s="16"/>
      <c r="I148" s="10">
        <v>89.86</v>
      </c>
      <c r="J148" s="10">
        <v>1598</v>
      </c>
      <c r="K148" s="10">
        <v>16.3</v>
      </c>
      <c r="L148" s="16"/>
      <c r="M148" s="10">
        <v>13.46</v>
      </c>
      <c r="N148" s="10">
        <v>19.940000000000001</v>
      </c>
      <c r="O148" s="10">
        <v>-181.65124429071486</v>
      </c>
      <c r="P148" s="28">
        <v>62921.7</v>
      </c>
    </row>
    <row r="149" spans="2:16" x14ac:dyDescent="0.3">
      <c r="B149" s="4">
        <v>2017</v>
      </c>
      <c r="C149" s="4"/>
      <c r="D149" s="10">
        <v>56.48</v>
      </c>
      <c r="E149" s="10">
        <v>55.27</v>
      </c>
      <c r="F149" s="16"/>
      <c r="G149" s="10">
        <v>24.18</v>
      </c>
      <c r="H149" s="16"/>
      <c r="I149" s="10">
        <v>89.86</v>
      </c>
      <c r="J149" s="10">
        <v>1863</v>
      </c>
      <c r="K149" s="10">
        <v>16.8</v>
      </c>
      <c r="L149" s="16"/>
      <c r="M149" s="10">
        <v>11.19</v>
      </c>
      <c r="N149" s="10">
        <v>16.670000000000002</v>
      </c>
      <c r="O149" s="10">
        <v>-151.14848631003755</v>
      </c>
      <c r="P149" s="28">
        <v>58219.3</v>
      </c>
    </row>
    <row r="150" spans="2:16" x14ac:dyDescent="0.3">
      <c r="B150" s="4">
        <v>2018</v>
      </c>
      <c r="C150" s="4"/>
      <c r="D150" s="10">
        <v>58.18</v>
      </c>
      <c r="E150" s="10">
        <v>57.02</v>
      </c>
      <c r="F150" s="16"/>
      <c r="G150" s="10">
        <v>27.54</v>
      </c>
      <c r="H150" s="16"/>
      <c r="I150" s="10">
        <v>89.86</v>
      </c>
      <c r="J150" s="10">
        <v>1866</v>
      </c>
      <c r="K150" s="10">
        <v>17.600000000000001</v>
      </c>
      <c r="L150" s="16"/>
      <c r="M150" s="10">
        <v>10.31</v>
      </c>
      <c r="N150" s="10">
        <v>15.13</v>
      </c>
      <c r="O150" s="10">
        <v>-93.603220416571759</v>
      </c>
      <c r="P150" s="28">
        <v>66607.100000000006</v>
      </c>
    </row>
    <row r="151" spans="2:16" x14ac:dyDescent="0.3">
      <c r="B151" s="4">
        <v>2019</v>
      </c>
      <c r="C151" s="4"/>
      <c r="D151" s="10">
        <v>61.02</v>
      </c>
      <c r="E151" s="10">
        <v>60.4</v>
      </c>
      <c r="F151" s="16"/>
      <c r="G151" s="10">
        <v>32.68</v>
      </c>
      <c r="H151" s="16"/>
      <c r="I151" s="10">
        <v>89.86</v>
      </c>
      <c r="J151" s="10">
        <v>1853</v>
      </c>
      <c r="K151" s="10">
        <v>14.7</v>
      </c>
      <c r="L151" s="16"/>
      <c r="M151" s="10">
        <v>11.3</v>
      </c>
      <c r="N151" s="10">
        <v>16.510000000000002</v>
      </c>
      <c r="O151" s="10">
        <v>17.688835522100504</v>
      </c>
      <c r="P151" s="28">
        <v>64873.1</v>
      </c>
    </row>
    <row r="152" spans="2:16" x14ac:dyDescent="0.3">
      <c r="B152" s="4">
        <v>2020</v>
      </c>
      <c r="C152" s="4"/>
      <c r="D152" s="10">
        <v>56.38</v>
      </c>
      <c r="E152" s="10">
        <v>44.91</v>
      </c>
      <c r="F152" s="16"/>
      <c r="G152" s="10">
        <v>34.25</v>
      </c>
      <c r="H152" s="16"/>
      <c r="I152" s="10">
        <v>89.86</v>
      </c>
      <c r="J152" s="10">
        <v>1818</v>
      </c>
      <c r="K152" s="10">
        <v>12</v>
      </c>
      <c r="L152" s="16"/>
      <c r="M152" s="10">
        <v>11.78</v>
      </c>
      <c r="N152" s="10">
        <v>16.89</v>
      </c>
      <c r="O152" s="10">
        <v>20.769361518267967</v>
      </c>
      <c r="P152" s="28">
        <v>65688.899999999994</v>
      </c>
    </row>
    <row r="153" spans="2:16" x14ac:dyDescent="0.3">
      <c r="B153" s="4">
        <v>2021</v>
      </c>
      <c r="C153" s="4"/>
      <c r="D153" s="10">
        <v>57.09</v>
      </c>
      <c r="E153" s="10">
        <v>46.63</v>
      </c>
      <c r="F153" s="16"/>
      <c r="G153" s="10">
        <v>34.64</v>
      </c>
      <c r="H153" s="16"/>
      <c r="I153" s="10">
        <v>89.86</v>
      </c>
      <c r="J153" s="10">
        <v>2512</v>
      </c>
      <c r="K153" s="10">
        <v>22.9</v>
      </c>
      <c r="L153" s="16"/>
      <c r="M153" s="10">
        <v>13.1</v>
      </c>
      <c r="N153" s="10">
        <v>19.07</v>
      </c>
      <c r="O153" s="10">
        <v>28.916149659704619</v>
      </c>
      <c r="P153" s="28">
        <v>80329.5</v>
      </c>
    </row>
    <row r="154" spans="2:16" x14ac:dyDescent="0.3">
      <c r="B154" s="4">
        <v>2022</v>
      </c>
      <c r="C154" s="4"/>
      <c r="D154" s="10">
        <v>58.04</v>
      </c>
      <c r="E154" s="10">
        <v>46.63</v>
      </c>
      <c r="F154" s="16"/>
      <c r="G154" s="10">
        <v>37.520000000000003</v>
      </c>
      <c r="H154" s="16"/>
      <c r="I154" s="10">
        <v>89.86</v>
      </c>
      <c r="J154" s="10">
        <v>2216</v>
      </c>
      <c r="K154" s="10">
        <v>20.399999999999999</v>
      </c>
      <c r="L154" s="16"/>
      <c r="M154" s="10">
        <v>12.79</v>
      </c>
      <c r="N154" s="10">
        <v>19.73</v>
      </c>
      <c r="O154" s="10">
        <v>59.987053471392912</v>
      </c>
      <c r="P154" s="28">
        <v>85240.8</v>
      </c>
    </row>
    <row r="155" spans="2:16" x14ac:dyDescent="0.3">
      <c r="B155" s="2">
        <v>2015</v>
      </c>
      <c r="C155" s="2"/>
      <c r="D155" s="3">
        <v>37.179400000000001</v>
      </c>
      <c r="E155" s="3">
        <v>17.638200000000001</v>
      </c>
      <c r="F155" s="16"/>
      <c r="G155" s="3">
        <v>17.654199999999999</v>
      </c>
      <c r="H155" s="16"/>
      <c r="I155" s="3">
        <v>76.098699999999994</v>
      </c>
      <c r="J155" s="3">
        <v>39.1</v>
      </c>
      <c r="K155" s="3">
        <f>AVERAGE(K156:K157)</f>
        <v>3.58</v>
      </c>
      <c r="L155" s="16"/>
      <c r="M155" s="3">
        <v>2.5404</v>
      </c>
      <c r="N155" s="3">
        <v>4.3731999999999998</v>
      </c>
      <c r="O155" s="3">
        <v>260.40767758417996</v>
      </c>
      <c r="P155" s="27">
        <v>397.27</v>
      </c>
    </row>
    <row r="156" spans="2:16" x14ac:dyDescent="0.3">
      <c r="B156" s="2">
        <v>2016</v>
      </c>
      <c r="C156" s="2"/>
      <c r="D156" s="3">
        <v>40.1066</v>
      </c>
      <c r="E156" s="3">
        <v>20.4772</v>
      </c>
      <c r="F156" s="16"/>
      <c r="G156" s="3">
        <v>23.609400000000001</v>
      </c>
      <c r="H156" s="16"/>
      <c r="I156" s="3">
        <v>76.098699999999994</v>
      </c>
      <c r="J156" s="3">
        <v>55.3</v>
      </c>
      <c r="K156" s="3">
        <f>AVERAGE(K157:K158)</f>
        <v>3.62</v>
      </c>
      <c r="L156" s="16"/>
      <c r="M156" s="3">
        <v>-5.6500000000000002E-2</v>
      </c>
      <c r="N156" s="3">
        <v>3.6126</v>
      </c>
      <c r="O156" s="3">
        <v>128.29685689761368</v>
      </c>
      <c r="P156" s="27">
        <v>485.42</v>
      </c>
    </row>
    <row r="157" spans="2:16" x14ac:dyDescent="0.3">
      <c r="B157" s="2">
        <v>2017</v>
      </c>
      <c r="C157" s="2"/>
      <c r="D157" s="3">
        <v>40.287700000000001</v>
      </c>
      <c r="E157" s="3">
        <v>21.020800000000001</v>
      </c>
      <c r="F157" s="16"/>
      <c r="G157" s="3">
        <v>23.609400000000001</v>
      </c>
      <c r="H157" s="16"/>
      <c r="I157" s="3">
        <v>76.098699999999994</v>
      </c>
      <c r="J157" s="3">
        <v>53.1</v>
      </c>
      <c r="K157" s="3">
        <f>AVERAGE(K158:K159)</f>
        <v>3.54</v>
      </c>
      <c r="L157" s="16"/>
      <c r="M157" s="3">
        <v>3.9687999999999999</v>
      </c>
      <c r="N157" s="3">
        <v>6.1707999999999998</v>
      </c>
      <c r="O157" s="3">
        <v>123.75761925322242</v>
      </c>
      <c r="P157" s="27">
        <v>600.74</v>
      </c>
    </row>
    <row r="158" spans="2:16" x14ac:dyDescent="0.3">
      <c r="B158" s="2">
        <v>2018</v>
      </c>
      <c r="C158" s="2"/>
      <c r="D158" s="3">
        <v>42.772399999999998</v>
      </c>
      <c r="E158" s="3">
        <v>23.014199999999999</v>
      </c>
      <c r="F158" s="16"/>
      <c r="G158" s="3">
        <v>26.571899999999999</v>
      </c>
      <c r="H158" s="16"/>
      <c r="I158" s="3">
        <v>78.597200000000001</v>
      </c>
      <c r="J158" s="3">
        <v>65.099999999999994</v>
      </c>
      <c r="K158" s="3">
        <v>3.7</v>
      </c>
      <c r="L158" s="16"/>
      <c r="M158" s="3">
        <v>4.9051999999999998</v>
      </c>
      <c r="N158" s="3">
        <v>7.2230999999999996</v>
      </c>
      <c r="O158" s="3">
        <v>69.111226068889962</v>
      </c>
      <c r="P158" s="27">
        <v>637.1</v>
      </c>
    </row>
    <row r="159" spans="2:16" x14ac:dyDescent="0.3">
      <c r="B159" s="2">
        <v>2019</v>
      </c>
      <c r="C159" s="2"/>
      <c r="D159" s="3">
        <v>44.4724</v>
      </c>
      <c r="E159" s="3">
        <v>28.118400000000001</v>
      </c>
      <c r="F159" s="16"/>
      <c r="G159" s="3">
        <v>26.571899999999999</v>
      </c>
      <c r="H159" s="16"/>
      <c r="I159" s="3">
        <v>78.597200000000001</v>
      </c>
      <c r="J159" s="3">
        <v>80.900000000000006</v>
      </c>
      <c r="K159" s="3">
        <v>3.38</v>
      </c>
      <c r="L159" s="16"/>
      <c r="M159" s="3">
        <v>3.7917000000000001</v>
      </c>
      <c r="N159" s="3">
        <v>5.6830999999999996</v>
      </c>
      <c r="O159" s="3">
        <v>41.610680554721768</v>
      </c>
      <c r="P159" s="27">
        <v>716.24</v>
      </c>
    </row>
    <row r="160" spans="2:16" x14ac:dyDescent="0.3">
      <c r="B160" s="2">
        <v>2020</v>
      </c>
      <c r="C160" s="2"/>
      <c r="D160" s="3">
        <v>46.685400000000001</v>
      </c>
      <c r="E160" s="3">
        <v>34.762900000000002</v>
      </c>
      <c r="F160" s="16"/>
      <c r="G160" s="3">
        <v>26.571899999999999</v>
      </c>
      <c r="H160" s="16"/>
      <c r="I160" s="3">
        <v>78.597200000000001</v>
      </c>
      <c r="J160" s="3">
        <v>89.6</v>
      </c>
      <c r="K160" s="3">
        <v>10.3</v>
      </c>
      <c r="L160" s="16"/>
      <c r="M160" s="3">
        <v>3.1232000000000002</v>
      </c>
      <c r="N160" s="3">
        <v>4.4961000000000002</v>
      </c>
      <c r="O160" s="3">
        <v>5.8112654320991313</v>
      </c>
      <c r="P160" s="27">
        <v>809.96</v>
      </c>
    </row>
    <row r="161" spans="2:16" x14ac:dyDescent="0.3">
      <c r="B161" s="2">
        <v>2021</v>
      </c>
      <c r="C161" s="2"/>
      <c r="D161" s="3">
        <v>50.819800000000001</v>
      </c>
      <c r="E161" s="3">
        <v>47.176099999999998</v>
      </c>
      <c r="F161" s="16"/>
      <c r="G161" s="3">
        <v>26.571899999999999</v>
      </c>
      <c r="H161" s="16"/>
      <c r="I161" s="3">
        <v>78.597200000000001</v>
      </c>
      <c r="J161" s="3">
        <v>120</v>
      </c>
      <c r="K161" s="3">
        <v>10.9</v>
      </c>
      <c r="L161" s="16"/>
      <c r="M161" s="3">
        <v>4.4207000000000001</v>
      </c>
      <c r="N161" s="3">
        <v>6.8064999999999998</v>
      </c>
      <c r="O161" s="3">
        <v>-61.068906108293547</v>
      </c>
      <c r="P161" s="27">
        <v>854.53</v>
      </c>
    </row>
    <row r="162" spans="2:16" x14ac:dyDescent="0.3">
      <c r="B162" s="2">
        <v>2022</v>
      </c>
      <c r="C162" s="2"/>
      <c r="D162" s="3">
        <v>56.251899999999999</v>
      </c>
      <c r="E162" s="3">
        <v>48.021700000000003</v>
      </c>
      <c r="F162" s="16"/>
      <c r="G162" s="3">
        <v>35.761800000000001</v>
      </c>
      <c r="H162" s="16"/>
      <c r="I162" s="3">
        <v>84.858500000000006</v>
      </c>
      <c r="J162" s="3">
        <v>135</v>
      </c>
      <c r="K162" s="3">
        <v>13.1</v>
      </c>
      <c r="L162" s="16"/>
      <c r="M162" s="3">
        <v>4.5236000000000001</v>
      </c>
      <c r="N162" s="3">
        <v>6.4539</v>
      </c>
      <c r="O162" s="3">
        <v>46.310043517595751</v>
      </c>
      <c r="P162" s="27">
        <v>1024.1300000000001</v>
      </c>
    </row>
    <row r="163" spans="2:16" x14ac:dyDescent="0.3">
      <c r="B163" s="4">
        <v>2015</v>
      </c>
      <c r="C163" s="4"/>
      <c r="D163" s="10">
        <v>43.174700000000001</v>
      </c>
      <c r="E163" s="10">
        <v>15.614599999999999</v>
      </c>
      <c r="F163" s="16"/>
      <c r="G163" s="10">
        <v>32.678400000000003</v>
      </c>
      <c r="H163" s="16"/>
      <c r="I163" s="10">
        <v>81.095699999999994</v>
      </c>
      <c r="J163" s="10">
        <v>1290</v>
      </c>
      <c r="K163" s="10">
        <f t="shared" ref="K163:K166" si="6">AVERAGE(K164:K165)</f>
        <v>19.401562500000001</v>
      </c>
      <c r="L163" s="16"/>
      <c r="M163" s="10">
        <v>2.74</v>
      </c>
      <c r="N163" s="10">
        <v>9.2100000000000009</v>
      </c>
      <c r="O163" s="10">
        <v>-14.536525159266811</v>
      </c>
      <c r="P163" s="28">
        <v>182786.9</v>
      </c>
    </row>
    <row r="164" spans="2:16" x14ac:dyDescent="0.3">
      <c r="B164" s="4">
        <v>2016</v>
      </c>
      <c r="C164" s="4"/>
      <c r="D164" s="10">
        <v>47.168300000000002</v>
      </c>
      <c r="E164" s="10">
        <v>18.755700000000001</v>
      </c>
      <c r="F164" s="16"/>
      <c r="G164" s="10">
        <v>35.247900000000001</v>
      </c>
      <c r="H164" s="16"/>
      <c r="I164" s="10">
        <v>87.356999999999999</v>
      </c>
      <c r="J164" s="10">
        <v>575</v>
      </c>
      <c r="K164" s="10">
        <f t="shared" si="6"/>
        <v>19.396875000000001</v>
      </c>
      <c r="L164" s="16"/>
      <c r="M164" s="10">
        <v>2.88</v>
      </c>
      <c r="N164" s="10">
        <v>7.05</v>
      </c>
      <c r="O164" s="10">
        <v>-56.181042602630001</v>
      </c>
      <c r="P164" s="28">
        <v>190756.8</v>
      </c>
    </row>
    <row r="165" spans="2:16" x14ac:dyDescent="0.3">
      <c r="B165" s="4">
        <v>2017</v>
      </c>
      <c r="C165" s="4"/>
      <c r="D165" s="10">
        <v>46.594900000000003</v>
      </c>
      <c r="E165" s="10">
        <v>17.034099999999999</v>
      </c>
      <c r="F165" s="16"/>
      <c r="G165" s="10">
        <v>35.247900000000001</v>
      </c>
      <c r="H165" s="16"/>
      <c r="I165" s="10">
        <v>87.356999999999999</v>
      </c>
      <c r="J165" s="10">
        <v>1246</v>
      </c>
      <c r="K165" s="10">
        <f t="shared" si="6"/>
        <v>19.40625</v>
      </c>
      <c r="L165" s="16"/>
      <c r="M165" s="10">
        <v>1.66</v>
      </c>
      <c r="N165" s="10">
        <v>6</v>
      </c>
      <c r="O165" s="10">
        <v>-61.841961596699221</v>
      </c>
      <c r="P165" s="28">
        <v>203512.9</v>
      </c>
    </row>
    <row r="166" spans="2:16" x14ac:dyDescent="0.3">
      <c r="B166" s="4">
        <v>2018</v>
      </c>
      <c r="C166" s="4"/>
      <c r="D166" s="10">
        <v>51.705100000000002</v>
      </c>
      <c r="E166" s="10">
        <v>20.1752</v>
      </c>
      <c r="F166" s="16"/>
      <c r="G166" s="10">
        <v>47.460700000000003</v>
      </c>
      <c r="H166" s="16"/>
      <c r="I166" s="10">
        <v>87.356999999999999</v>
      </c>
      <c r="J166" s="10">
        <v>1204</v>
      </c>
      <c r="K166" s="10">
        <f t="shared" si="6"/>
        <v>19.387500000000003</v>
      </c>
      <c r="L166" s="16"/>
      <c r="M166" s="10">
        <v>0.45</v>
      </c>
      <c r="N166" s="10">
        <v>2.56</v>
      </c>
      <c r="O166" s="10">
        <v>-242.84276839976616</v>
      </c>
      <c r="P166" s="28">
        <v>217927.4</v>
      </c>
    </row>
    <row r="167" spans="2:16" x14ac:dyDescent="0.3">
      <c r="B167" s="4">
        <v>2019</v>
      </c>
      <c r="C167" s="4"/>
      <c r="D167" s="10">
        <v>54.058900000000001</v>
      </c>
      <c r="E167" s="10">
        <v>25.672000000000001</v>
      </c>
      <c r="F167" s="16"/>
      <c r="G167" s="10">
        <v>49.032600000000002</v>
      </c>
      <c r="H167" s="16"/>
      <c r="I167" s="10">
        <v>87.356999999999999</v>
      </c>
      <c r="J167" s="10">
        <v>1292</v>
      </c>
      <c r="K167" s="10">
        <f>AVERAGE(K168:K169)</f>
        <v>19.425000000000001</v>
      </c>
      <c r="L167" s="16"/>
      <c r="M167" s="10">
        <v>0.16</v>
      </c>
      <c r="N167" s="10">
        <v>-5.38</v>
      </c>
      <c r="O167" s="10">
        <v>-173.62244292627494</v>
      </c>
      <c r="P167" s="28">
        <v>277692.09999999998</v>
      </c>
    </row>
    <row r="168" spans="2:16" x14ac:dyDescent="0.3">
      <c r="B168" s="4">
        <v>2020</v>
      </c>
      <c r="C168" s="4"/>
      <c r="D168" s="10">
        <v>55.286200000000001</v>
      </c>
      <c r="E168" s="10">
        <v>29.3567</v>
      </c>
      <c r="F168" s="16"/>
      <c r="G168" s="10">
        <v>49.032600000000002</v>
      </c>
      <c r="H168" s="16"/>
      <c r="I168" s="10">
        <v>87.356999999999999</v>
      </c>
      <c r="J168" s="10">
        <v>1638</v>
      </c>
      <c r="K168" s="10">
        <v>19.350000000000001</v>
      </c>
      <c r="L168" s="16"/>
      <c r="M168" s="10">
        <v>-10.119999999999999</v>
      </c>
      <c r="N168" s="10">
        <v>-8.7899999999999991</v>
      </c>
      <c r="O168" s="10">
        <v>-110.71402701852004</v>
      </c>
      <c r="P168" s="28">
        <v>261908.5</v>
      </c>
    </row>
    <row r="169" spans="2:16" x14ac:dyDescent="0.3">
      <c r="B169" s="4">
        <v>2021</v>
      </c>
      <c r="C169" s="4"/>
      <c r="D169" s="10">
        <v>59.702199999999998</v>
      </c>
      <c r="E169" s="10">
        <v>40.048299999999998</v>
      </c>
      <c r="F169" s="16"/>
      <c r="G169" s="10">
        <v>51.602200000000003</v>
      </c>
      <c r="H169" s="16"/>
      <c r="I169" s="10">
        <v>87.356999999999999</v>
      </c>
      <c r="J169" s="10">
        <v>1114</v>
      </c>
      <c r="K169" s="10">
        <v>19.5</v>
      </c>
      <c r="L169" s="16"/>
      <c r="M169" s="10">
        <v>-4.2699999999999996</v>
      </c>
      <c r="N169" s="10">
        <v>-31.88</v>
      </c>
      <c r="O169" s="10">
        <v>82.632118692335453</v>
      </c>
      <c r="P169" s="28">
        <v>255223.3</v>
      </c>
    </row>
    <row r="170" spans="2:16" x14ac:dyDescent="0.3">
      <c r="B170" s="4">
        <v>2022</v>
      </c>
      <c r="C170" s="4"/>
      <c r="D170" s="10">
        <v>59.4206</v>
      </c>
      <c r="E170" s="10">
        <v>39.2027</v>
      </c>
      <c r="F170" s="16"/>
      <c r="G170" s="10">
        <v>51.602200000000003</v>
      </c>
      <c r="H170" s="16"/>
      <c r="I170" s="10">
        <v>87.356999999999999</v>
      </c>
      <c r="J170" s="10">
        <v>678</v>
      </c>
      <c r="K170" s="10">
        <v>29.1</v>
      </c>
      <c r="L170" s="16"/>
      <c r="M170" s="10">
        <v>1.2</v>
      </c>
      <c r="N170" s="10">
        <v>4.8899999999999997</v>
      </c>
      <c r="O170" s="10">
        <v>66.022443348055219</v>
      </c>
      <c r="P170" s="28">
        <v>320933.3</v>
      </c>
    </row>
    <row r="171" spans="2:16" x14ac:dyDescent="0.3">
      <c r="B171" s="2">
        <v>2015</v>
      </c>
      <c r="C171" s="2"/>
      <c r="D171" s="3">
        <v>50.42</v>
      </c>
      <c r="E171" s="3">
        <v>44.79</v>
      </c>
      <c r="F171" s="16"/>
      <c r="G171" s="3">
        <v>27.75</v>
      </c>
      <c r="H171" s="16"/>
      <c r="I171" s="3">
        <v>78.599999999999994</v>
      </c>
      <c r="J171" s="3">
        <v>273.2</v>
      </c>
      <c r="K171" s="3">
        <f>AVERAGE(K172:K173)</f>
        <v>22.9</v>
      </c>
      <c r="L171" s="16"/>
      <c r="M171" s="3">
        <v>1.829</v>
      </c>
      <c r="N171" s="3">
        <v>18.2346</v>
      </c>
      <c r="O171" s="3">
        <v>-37.670775008292139</v>
      </c>
      <c r="P171" s="27">
        <v>142896.99</v>
      </c>
    </row>
    <row r="172" spans="2:16" x14ac:dyDescent="0.3">
      <c r="B172" s="2">
        <v>2016</v>
      </c>
      <c r="C172" s="2"/>
      <c r="D172" s="3">
        <v>48.42</v>
      </c>
      <c r="E172" s="3">
        <v>32.11</v>
      </c>
      <c r="F172" s="16"/>
      <c r="G172" s="3">
        <v>31.92</v>
      </c>
      <c r="H172" s="16"/>
      <c r="I172" s="3">
        <v>81.099999999999994</v>
      </c>
      <c r="J172" s="3">
        <v>273.2</v>
      </c>
      <c r="K172" s="3">
        <f>AVERAGE(K173:K174)</f>
        <v>22.8</v>
      </c>
      <c r="L172" s="16"/>
      <c r="M172" s="3">
        <v>1.8145</v>
      </c>
      <c r="N172" s="3">
        <v>16.102599999999999</v>
      </c>
      <c r="O172" s="3">
        <v>0.14824019767406019</v>
      </c>
      <c r="P172" s="27">
        <v>178648.41</v>
      </c>
    </row>
    <row r="173" spans="2:16" x14ac:dyDescent="0.3">
      <c r="B173" s="2">
        <v>2017</v>
      </c>
      <c r="C173" s="2"/>
      <c r="D173" s="3">
        <v>51.61</v>
      </c>
      <c r="E173" s="3">
        <v>34.67</v>
      </c>
      <c r="F173" s="16"/>
      <c r="G173" s="3">
        <v>32.68</v>
      </c>
      <c r="H173" s="16"/>
      <c r="I173" s="3">
        <v>87.36</v>
      </c>
      <c r="J173" s="3">
        <v>338.1</v>
      </c>
      <c r="K173" s="3">
        <v>23</v>
      </c>
      <c r="L173" s="16"/>
      <c r="M173" s="3">
        <v>1.7838000000000001</v>
      </c>
      <c r="N173" s="3">
        <v>14.946999999999999</v>
      </c>
      <c r="O173" s="3">
        <v>-0.84379410743064054</v>
      </c>
      <c r="P173" s="27">
        <v>221626.16</v>
      </c>
    </row>
    <row r="174" spans="2:16" x14ac:dyDescent="0.3">
      <c r="B174" s="2">
        <v>2018</v>
      </c>
      <c r="C174" s="2"/>
      <c r="D174" s="3">
        <v>50.96</v>
      </c>
      <c r="E174" s="3">
        <v>32.71</v>
      </c>
      <c r="F174" s="16"/>
      <c r="G174" s="3">
        <v>32.68</v>
      </c>
      <c r="H174" s="16"/>
      <c r="I174" s="3">
        <v>87.36</v>
      </c>
      <c r="J174" s="3">
        <v>204.7</v>
      </c>
      <c r="K174" s="3">
        <v>22.6</v>
      </c>
      <c r="L174" s="16"/>
      <c r="M174" s="3">
        <v>1.8017000000000001</v>
      </c>
      <c r="N174" s="3">
        <v>16.184799999999999</v>
      </c>
      <c r="O174" s="3">
        <v>-2.255529594173006</v>
      </c>
      <c r="P174" s="27">
        <v>277819.42</v>
      </c>
    </row>
    <row r="175" spans="2:16" x14ac:dyDescent="0.3">
      <c r="B175" s="2">
        <v>2019</v>
      </c>
      <c r="C175" s="2"/>
      <c r="D175" s="3">
        <v>65.78</v>
      </c>
      <c r="E175" s="3">
        <v>51.34</v>
      </c>
      <c r="F175" s="16"/>
      <c r="G175" s="3">
        <v>58.56</v>
      </c>
      <c r="H175" s="16"/>
      <c r="I175" s="3">
        <v>87.36</v>
      </c>
      <c r="J175" s="3">
        <v>554.6</v>
      </c>
      <c r="K175" s="3">
        <v>21.6</v>
      </c>
      <c r="L175" s="16"/>
      <c r="M175" s="3">
        <v>1.3217000000000001</v>
      </c>
      <c r="N175" s="3">
        <v>13.066599999999999</v>
      </c>
      <c r="O175" s="3">
        <v>412.26455423643125</v>
      </c>
      <c r="P175" s="27">
        <v>307057.55</v>
      </c>
    </row>
    <row r="176" spans="2:16" x14ac:dyDescent="0.3">
      <c r="B176" s="2">
        <v>2020</v>
      </c>
      <c r="C176" s="2"/>
      <c r="D176" s="3">
        <v>66.900000000000006</v>
      </c>
      <c r="E176" s="3">
        <v>54.73</v>
      </c>
      <c r="F176" s="16"/>
      <c r="G176" s="3">
        <v>58.56</v>
      </c>
      <c r="H176" s="16"/>
      <c r="I176" s="3">
        <v>87.36</v>
      </c>
      <c r="J176" s="3">
        <v>1081.0999999999999</v>
      </c>
      <c r="K176" s="3">
        <v>20</v>
      </c>
      <c r="L176" s="16"/>
      <c r="M176" s="3">
        <v>1.5239</v>
      </c>
      <c r="N176" s="3">
        <v>14.532</v>
      </c>
      <c r="O176" s="3">
        <v>502.43948040992933</v>
      </c>
      <c r="P176" s="27">
        <v>362972.75</v>
      </c>
    </row>
    <row r="177" spans="2:16" x14ac:dyDescent="0.3">
      <c r="B177" s="2">
        <v>2021</v>
      </c>
      <c r="C177" s="2"/>
      <c r="D177" s="3">
        <v>65.599999999999994</v>
      </c>
      <c r="E177" s="3">
        <v>50.8</v>
      </c>
      <c r="F177" s="16"/>
      <c r="G177" s="3">
        <v>58.56</v>
      </c>
      <c r="H177" s="16"/>
      <c r="I177" s="3">
        <v>87.36</v>
      </c>
      <c r="J177" s="3">
        <v>947.2</v>
      </c>
      <c r="K177" s="3">
        <v>21</v>
      </c>
      <c r="L177" s="16"/>
      <c r="M177" s="3">
        <v>0.87439999999999996</v>
      </c>
      <c r="N177" s="3">
        <v>7.4885999999999999</v>
      </c>
      <c r="O177" s="3">
        <v>397.9004067043694</v>
      </c>
      <c r="P177" s="27">
        <v>401974.58</v>
      </c>
    </row>
    <row r="178" spans="2:16" x14ac:dyDescent="0.3">
      <c r="B178" s="2">
        <v>2022</v>
      </c>
      <c r="C178" s="2"/>
      <c r="D178" s="3">
        <v>65.599999999999994</v>
      </c>
      <c r="E178" s="3">
        <v>50.8</v>
      </c>
      <c r="F178" s="16"/>
      <c r="G178" s="3">
        <v>58.56</v>
      </c>
      <c r="H178" s="16"/>
      <c r="I178" s="3">
        <v>87.36</v>
      </c>
      <c r="J178" s="3">
        <v>947.2</v>
      </c>
      <c r="K178" s="3">
        <v>37</v>
      </c>
      <c r="L178" s="16"/>
      <c r="M178" s="3">
        <v>1.2563</v>
      </c>
      <c r="N178" s="3">
        <v>10.4971</v>
      </c>
      <c r="O178" s="3">
        <v>397.9004067043694</v>
      </c>
      <c r="P178" s="27">
        <v>457804.05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used in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MDI F23</dc:creator>
  <cp:lastModifiedBy>SHAKTHISHATVIKA S A</cp:lastModifiedBy>
  <dcterms:created xsi:type="dcterms:W3CDTF">2024-06-14T18:28:38Z</dcterms:created>
  <dcterms:modified xsi:type="dcterms:W3CDTF">2026-04-22T14:15:29Z</dcterms:modified>
</cp:coreProperties>
</file>